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SA\"/>
    </mc:Choice>
  </mc:AlternateContent>
  <xr:revisionPtr revIDLastSave="0" documentId="13_ncr:1_{83723F5D-959D-4800-92AC-9AE6C6C29D86}" xr6:coauthVersionLast="47" xr6:coauthVersionMax="47" xr10:uidLastSave="{00000000-0000-0000-0000-000000000000}"/>
  <bookViews>
    <workbookView xWindow="-108" yWindow="-108" windowWidth="23256" windowHeight="12456" activeTab="3" xr2:uid="{58492481-F0F4-40CB-BA7B-24BD91F9B36D}"/>
  </bookViews>
  <sheets>
    <sheet name="REKAP KOM-LEM JUL 26" sheetId="1" r:id="rId1"/>
    <sheet name="REKAP PENDAPATAN JUL 26" sheetId="3" r:id="rId2"/>
    <sheet name="SLIP GJ JUL 26" sheetId="2" r:id="rId3"/>
    <sheet name="REKAP STOK IN-OUT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Print_Area" localSheetId="2">'SLIP GJ JUL 26'!$B$2:$K$29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" i="4" l="1"/>
  <c r="R7" i="4"/>
  <c r="T7" i="4"/>
  <c r="J7" i="4"/>
  <c r="P4" i="4"/>
  <c r="P5" i="4"/>
  <c r="P6" i="4"/>
  <c r="P3" i="4"/>
  <c r="J6" i="4"/>
  <c r="R6" i="4" s="1"/>
  <c r="T6" i="4" s="1"/>
  <c r="J4" i="4"/>
  <c r="R4" i="4" s="1"/>
  <c r="T4" i="4" s="1"/>
  <c r="J5" i="4"/>
  <c r="R5" i="4" s="1"/>
  <c r="T5" i="4" s="1"/>
  <c r="J3" i="4"/>
  <c r="R3" i="4" s="1"/>
  <c r="T3" i="4" s="1"/>
  <c r="A4" i="4"/>
  <c r="A5" i="4" s="1"/>
  <c r="A6" i="4" s="1"/>
  <c r="A7" i="4" s="1"/>
  <c r="F101" i="2"/>
  <c r="C115" i="2"/>
  <c r="G105" i="2"/>
  <c r="G103" i="2"/>
  <c r="I98" i="2"/>
  <c r="E107" i="2" s="1"/>
  <c r="G107" i="2" s="1"/>
  <c r="I97" i="2"/>
  <c r="E105" i="2" s="1"/>
  <c r="E101" i="2"/>
  <c r="G101" i="2" s="1"/>
  <c r="G104" i="2" s="1"/>
  <c r="F56" i="1"/>
  <c r="F72" i="2"/>
  <c r="I67" i="2"/>
  <c r="E72" i="2" s="1"/>
  <c r="C88" i="2"/>
  <c r="G75" i="2"/>
  <c r="G73" i="2"/>
  <c r="I69" i="2"/>
  <c r="E80" i="2" s="1"/>
  <c r="G80" i="2" s="1"/>
  <c r="I68" i="2"/>
  <c r="E78" i="2" s="1"/>
  <c r="G44" i="2"/>
  <c r="F42" i="2"/>
  <c r="I37" i="2"/>
  <c r="E42" i="2" s="1"/>
  <c r="G42" i="2" s="1"/>
  <c r="C58" i="2"/>
  <c r="G45" i="2"/>
  <c r="G43" i="2"/>
  <c r="I39" i="2"/>
  <c r="E50" i="2" s="1"/>
  <c r="G50" i="2" s="1"/>
  <c r="I38" i="2"/>
  <c r="E48" i="2" s="1"/>
  <c r="G48" i="2" s="1"/>
  <c r="BC9" i="1"/>
  <c r="U5" i="3"/>
  <c r="C28" i="2"/>
  <c r="F12" i="2"/>
  <c r="F19" i="2" s="1"/>
  <c r="G16" i="3"/>
  <c r="J16" i="3"/>
  <c r="K16" i="3"/>
  <c r="L16" i="3"/>
  <c r="M16" i="3"/>
  <c r="O16" i="3"/>
  <c r="Q16" i="3"/>
  <c r="R16" i="3"/>
  <c r="S16" i="3"/>
  <c r="T16" i="3"/>
  <c r="C55" i="1"/>
  <c r="N12" i="3"/>
  <c r="G16" i="2"/>
  <c r="G15" i="2"/>
  <c r="I9" i="2"/>
  <c r="E20" i="2" s="1"/>
  <c r="G20" i="2" s="1"/>
  <c r="I8" i="2"/>
  <c r="E19" i="2" s="1"/>
  <c r="R14" i="3"/>
  <c r="R15" i="3"/>
  <c r="I7" i="2"/>
  <c r="E12" i="2" s="1"/>
  <c r="E49" i="1"/>
  <c r="D49" i="1"/>
  <c r="C49" i="1"/>
  <c r="E48" i="1"/>
  <c r="D48" i="1"/>
  <c r="C48" i="1"/>
  <c r="E47" i="1"/>
  <c r="D47" i="1"/>
  <c r="C47" i="1"/>
  <c r="BL13" i="1"/>
  <c r="BK13" i="1"/>
  <c r="BL12" i="1"/>
  <c r="BK12" i="1"/>
  <c r="BK11" i="1"/>
  <c r="BL10" i="1"/>
  <c r="BK10" i="1"/>
  <c r="BL9" i="1"/>
  <c r="BK9" i="1"/>
  <c r="BL8" i="1"/>
  <c r="BK8" i="1"/>
  <c r="BL7" i="1"/>
  <c r="BK7" i="1"/>
  <c r="G72" i="2" l="1"/>
  <c r="G47" i="2"/>
  <c r="G77" i="2"/>
  <c r="G108" i="2"/>
  <c r="G109" i="2" s="1"/>
  <c r="G51" i="2"/>
  <c r="G19" i="2"/>
  <c r="G21" i="2" s="1"/>
  <c r="G52" i="2" l="1"/>
  <c r="BJ11" i="1" l="1"/>
  <c r="BJ12" i="1"/>
  <c r="BJ13" i="1"/>
  <c r="BI13" i="1"/>
  <c r="BI12" i="1"/>
  <c r="BI11" i="1"/>
  <c r="BI10" i="1"/>
  <c r="BI9" i="1"/>
  <c r="BI8" i="1"/>
  <c r="BJ7" i="1"/>
  <c r="BI7" i="1"/>
  <c r="BG13" i="1"/>
  <c r="BG12" i="1"/>
  <c r="BG11" i="1"/>
  <c r="BH10" i="1"/>
  <c r="BG10" i="1"/>
  <c r="BH9" i="1"/>
  <c r="BH8" i="1"/>
  <c r="BG9" i="1"/>
  <c r="BG8" i="1"/>
  <c r="BG7" i="1"/>
  <c r="E46" i="1" l="1"/>
  <c r="D46" i="1"/>
  <c r="C46" i="1"/>
  <c r="E45" i="1"/>
  <c r="D45" i="1"/>
  <c r="C45" i="1"/>
  <c r="BF12" i="1"/>
  <c r="BE12" i="1"/>
  <c r="BF11" i="1"/>
  <c r="BE11" i="1"/>
  <c r="BE10" i="1"/>
  <c r="BE9" i="1"/>
  <c r="BE8" i="1"/>
  <c r="BF7" i="1"/>
  <c r="BE7" i="1"/>
  <c r="BD12" i="1"/>
  <c r="BC12" i="1"/>
  <c r="BC11" i="1"/>
  <c r="BD10" i="1"/>
  <c r="BD9" i="1"/>
  <c r="BD8" i="1"/>
  <c r="BC10" i="1"/>
  <c r="BC8" i="1"/>
  <c r="BC7" i="1"/>
  <c r="BA12" i="1"/>
  <c r="BA11" i="1"/>
  <c r="BB10" i="1"/>
  <c r="BA10" i="1"/>
  <c r="BA9" i="1"/>
  <c r="BA8" i="1"/>
  <c r="BB7" i="1"/>
  <c r="BA7" i="1"/>
  <c r="H15" i="3" l="1"/>
  <c r="N15" i="3" s="1"/>
  <c r="U7" i="3"/>
  <c r="U8" i="3"/>
  <c r="U9" i="3"/>
  <c r="U10" i="3"/>
  <c r="U11" i="3"/>
  <c r="U13" i="3"/>
  <c r="G78" i="2" s="1"/>
  <c r="G81" i="2" s="1"/>
  <c r="G82" i="2" s="1"/>
  <c r="P14" i="3"/>
  <c r="U14" i="3" s="1"/>
  <c r="P15" i="3"/>
  <c r="U15" i="3" s="1"/>
  <c r="F7" i="3"/>
  <c r="F8" i="3"/>
  <c r="F9" i="3"/>
  <c r="F10" i="3"/>
  <c r="F11" i="3"/>
  <c r="F13" i="3"/>
  <c r="N13" i="3" s="1"/>
  <c r="F14" i="3"/>
  <c r="N14" i="3" s="1"/>
  <c r="F6" i="3"/>
  <c r="F5" i="3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E50" i="1" s="1"/>
  <c r="C54" i="1" s="1"/>
  <c r="D19" i="1"/>
  <c r="C19" i="1"/>
  <c r="B19" i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U6" i="3" l="1"/>
  <c r="G12" i="2"/>
  <c r="F16" i="3"/>
  <c r="C50" i="1"/>
  <c r="D50" i="1"/>
  <c r="V14" i="3"/>
  <c r="V13" i="3"/>
  <c r="V15" i="3"/>
  <c r="R5" i="3"/>
  <c r="P5" i="3"/>
  <c r="AZ13" i="1"/>
  <c r="AY13" i="1"/>
  <c r="AZ12" i="1"/>
  <c r="AY12" i="1"/>
  <c r="AZ11" i="1"/>
  <c r="AZ10" i="1"/>
  <c r="AY11" i="1"/>
  <c r="AY10" i="1"/>
  <c r="AY9" i="1"/>
  <c r="AZ8" i="1"/>
  <c r="AY8" i="1"/>
  <c r="AY7" i="1"/>
  <c r="AW12" i="1"/>
  <c r="AW11" i="1"/>
  <c r="AX10" i="1"/>
  <c r="AW10" i="1"/>
  <c r="AW9" i="1"/>
  <c r="AX8" i="1"/>
  <c r="AW8" i="1"/>
  <c r="AW7" i="1"/>
  <c r="F50" i="1" l="1"/>
  <c r="BN13" i="1"/>
  <c r="BM13" i="1"/>
  <c r="AV12" i="1"/>
  <c r="AU12" i="1"/>
  <c r="AV11" i="1"/>
  <c r="AU11" i="1"/>
  <c r="AV10" i="1"/>
  <c r="AV9" i="1"/>
  <c r="AU10" i="1"/>
  <c r="AU9" i="1"/>
  <c r="AU8" i="1"/>
  <c r="AU7" i="1"/>
  <c r="AT12" i="1"/>
  <c r="AS12" i="1"/>
  <c r="AS11" i="1"/>
  <c r="AS10" i="1"/>
  <c r="AT9" i="1"/>
  <c r="AS9" i="1"/>
  <c r="AT8" i="1"/>
  <c r="AS8" i="1"/>
  <c r="AT7" i="1"/>
  <c r="AS7" i="1"/>
  <c r="AR11" i="1"/>
  <c r="AQ11" i="1"/>
  <c r="AQ9" i="1"/>
  <c r="AR8" i="1"/>
  <c r="AQ8" i="1"/>
  <c r="AR7" i="1"/>
  <c r="AQ7" i="1"/>
  <c r="AP12" i="1"/>
  <c r="AP10" i="1"/>
  <c r="AO12" i="1"/>
  <c r="AO11" i="1"/>
  <c r="AO10" i="1"/>
  <c r="AO9" i="1"/>
  <c r="AO8" i="1"/>
  <c r="AO7" i="1"/>
  <c r="AN12" i="1"/>
  <c r="AN11" i="1"/>
  <c r="AN10" i="1"/>
  <c r="AN9" i="1"/>
  <c r="AM12" i="1"/>
  <c r="AM11" i="1"/>
  <c r="AM10" i="1"/>
  <c r="AM9" i="1"/>
  <c r="AM8" i="1"/>
  <c r="AM7" i="1"/>
  <c r="BO13" i="1" l="1"/>
  <c r="N11" i="3"/>
  <c r="V11" i="3" s="1"/>
  <c r="AB14" i="1" l="1"/>
  <c r="AH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AL12" i="1"/>
  <c r="AK12" i="1"/>
  <c r="AK11" i="1"/>
  <c r="AL10" i="1"/>
  <c r="AK10" i="1"/>
  <c r="AK9" i="1"/>
  <c r="AK8" i="1"/>
  <c r="AL7" i="1"/>
  <c r="AL14" i="1" s="1"/>
  <c r="AK7" i="1"/>
  <c r="AJ12" i="1"/>
  <c r="AI12" i="1"/>
  <c r="AI11" i="1"/>
  <c r="AI10" i="1"/>
  <c r="AJ8" i="1"/>
  <c r="AJ14" i="1" s="1"/>
  <c r="AI9" i="1"/>
  <c r="AI8" i="1"/>
  <c r="AI7" i="1"/>
  <c r="AG12" i="1"/>
  <c r="AG11" i="1"/>
  <c r="AG10" i="1"/>
  <c r="AG9" i="1"/>
  <c r="AG8" i="1"/>
  <c r="AG7" i="1"/>
  <c r="AE12" i="1"/>
  <c r="AF11" i="1"/>
  <c r="AE11" i="1"/>
  <c r="AF10" i="1"/>
  <c r="AE10" i="1"/>
  <c r="AE9" i="1"/>
  <c r="AE8" i="1"/>
  <c r="AF7" i="1"/>
  <c r="AE7" i="1"/>
  <c r="AD9" i="1"/>
  <c r="AD8" i="1"/>
  <c r="AD14" i="1" s="1"/>
  <c r="AC12" i="1"/>
  <c r="AC11" i="1"/>
  <c r="AC10" i="1"/>
  <c r="AC9" i="1"/>
  <c r="AC8" i="1"/>
  <c r="AC7" i="1"/>
  <c r="AA12" i="1"/>
  <c r="AA11" i="1"/>
  <c r="AA10" i="1"/>
  <c r="AA9" i="1"/>
  <c r="AA8" i="1"/>
  <c r="AA7" i="1"/>
  <c r="Z12" i="1"/>
  <c r="Y12" i="1"/>
  <c r="Z11" i="1"/>
  <c r="Y11" i="1"/>
  <c r="Z10" i="1"/>
  <c r="Y10" i="1"/>
  <c r="Z9" i="1"/>
  <c r="Y9" i="1"/>
  <c r="Z8" i="1"/>
  <c r="Y8" i="1"/>
  <c r="Z7" i="1"/>
  <c r="Y7" i="1"/>
  <c r="X12" i="1"/>
  <c r="W12" i="1"/>
  <c r="X11" i="1"/>
  <c r="W11" i="1"/>
  <c r="X10" i="1"/>
  <c r="W10" i="1"/>
  <c r="X9" i="1"/>
  <c r="W9" i="1"/>
  <c r="X7" i="1"/>
  <c r="W8" i="1"/>
  <c r="W7" i="1"/>
  <c r="V12" i="1"/>
  <c r="V14" i="1" s="1"/>
  <c r="U12" i="1"/>
  <c r="U11" i="1"/>
  <c r="U10" i="1"/>
  <c r="U9" i="1"/>
  <c r="U8" i="1"/>
  <c r="U7" i="1"/>
  <c r="S12" i="1"/>
  <c r="T11" i="1"/>
  <c r="S11" i="1"/>
  <c r="S10" i="1"/>
  <c r="T9" i="1"/>
  <c r="S9" i="1"/>
  <c r="S8" i="1"/>
  <c r="T7" i="1"/>
  <c r="S7" i="1"/>
  <c r="R12" i="1"/>
  <c r="Q12" i="1"/>
  <c r="Q11" i="1"/>
  <c r="R10" i="1"/>
  <c r="Q10" i="1"/>
  <c r="R9" i="1"/>
  <c r="Q9" i="1"/>
  <c r="R8" i="1"/>
  <c r="Q8" i="1"/>
  <c r="Q7" i="1"/>
  <c r="P12" i="1"/>
  <c r="P10" i="1"/>
  <c r="P14" i="1" s="1"/>
  <c r="O12" i="1"/>
  <c r="O11" i="1"/>
  <c r="O10" i="1"/>
  <c r="O9" i="1"/>
  <c r="O8" i="1"/>
  <c r="O7" i="1"/>
  <c r="N11" i="1"/>
  <c r="N14" i="1" s="1"/>
  <c r="M12" i="1"/>
  <c r="M11" i="1"/>
  <c r="M10" i="1"/>
  <c r="M9" i="1"/>
  <c r="M8" i="1"/>
  <c r="M7" i="1"/>
  <c r="M14" i="1" s="1"/>
  <c r="L12" i="1"/>
  <c r="K12" i="1"/>
  <c r="L11" i="1"/>
  <c r="K11" i="1"/>
  <c r="L10" i="1"/>
  <c r="K10" i="1"/>
  <c r="L9" i="1"/>
  <c r="K9" i="1"/>
  <c r="L8" i="1"/>
  <c r="K8" i="1"/>
  <c r="K7" i="1"/>
  <c r="J12" i="1"/>
  <c r="I12" i="1"/>
  <c r="J11" i="1"/>
  <c r="I11" i="1"/>
  <c r="J10" i="1"/>
  <c r="I10" i="1"/>
  <c r="J9" i="1"/>
  <c r="I9" i="1"/>
  <c r="J8" i="1"/>
  <c r="I8" i="1"/>
  <c r="J7" i="1"/>
  <c r="I7" i="1"/>
  <c r="H11" i="1"/>
  <c r="H10" i="1"/>
  <c r="G12" i="1"/>
  <c r="G11" i="1"/>
  <c r="G10" i="1"/>
  <c r="G9" i="1"/>
  <c r="G8" i="1"/>
  <c r="G7" i="1"/>
  <c r="F12" i="1"/>
  <c r="F10" i="1"/>
  <c r="F14" i="1" s="1"/>
  <c r="E12" i="1"/>
  <c r="E11" i="1"/>
  <c r="E10" i="1"/>
  <c r="E9" i="1"/>
  <c r="E8" i="1"/>
  <c r="E7" i="1"/>
  <c r="D12" i="1"/>
  <c r="D11" i="1"/>
  <c r="C12" i="1"/>
  <c r="C11" i="1"/>
  <c r="C10" i="1"/>
  <c r="C9" i="1"/>
  <c r="D8" i="1"/>
  <c r="C8" i="1"/>
  <c r="C7" i="1"/>
  <c r="A8" i="1"/>
  <c r="A9" i="1" s="1"/>
  <c r="A10" i="1" s="1"/>
  <c r="A11" i="1" s="1"/>
  <c r="A12" i="1" s="1"/>
  <c r="A13" i="1" s="1"/>
  <c r="E6" i="1"/>
  <c r="G6" i="1" s="1"/>
  <c r="I6" i="1" s="1"/>
  <c r="K6" i="1" s="1"/>
  <c r="M6" i="1" s="1"/>
  <c r="O6" i="1" s="1"/>
  <c r="Q6" i="1" s="1"/>
  <c r="S6" i="1" s="1"/>
  <c r="U6" i="1" s="1"/>
  <c r="W6" i="1" s="1"/>
  <c r="Y6" i="1" s="1"/>
  <c r="AA6" i="1" s="1"/>
  <c r="AC6" i="1" s="1"/>
  <c r="AE6" i="1" s="1"/>
  <c r="AG6" i="1" s="1"/>
  <c r="AI6" i="1" s="1"/>
  <c r="AK6" i="1" s="1"/>
  <c r="AM6" i="1" s="1"/>
  <c r="AO6" i="1" s="1"/>
  <c r="AQ6" i="1" s="1"/>
  <c r="AS6" i="1" s="1"/>
  <c r="AU6" i="1" s="1"/>
  <c r="AW6" i="1" s="1"/>
  <c r="AY6" i="1" s="1"/>
  <c r="BA6" i="1" s="1"/>
  <c r="BC6" i="1" s="1"/>
  <c r="BE6" i="1" s="1"/>
  <c r="BG6" i="1" s="1"/>
  <c r="BI6" i="1" s="1"/>
  <c r="BK6" i="1" s="1"/>
  <c r="AI14" i="1" l="1"/>
  <c r="Q14" i="1"/>
  <c r="C14" i="1"/>
  <c r="AK14" i="1"/>
  <c r="AA14" i="1"/>
  <c r="G14" i="1"/>
  <c r="K14" i="1"/>
  <c r="Y14" i="1"/>
  <c r="AG14" i="1"/>
  <c r="O14" i="1"/>
  <c r="BN12" i="1"/>
  <c r="T14" i="1"/>
  <c r="L14" i="1"/>
  <c r="X14" i="1"/>
  <c r="AF14" i="1"/>
  <c r="E14" i="1"/>
  <c r="Z14" i="1"/>
  <c r="BM12" i="1"/>
  <c r="W14" i="1"/>
  <c r="U14" i="1"/>
  <c r="AC14" i="1"/>
  <c r="BN9" i="1"/>
  <c r="S14" i="1"/>
  <c r="AE14" i="1"/>
  <c r="I14" i="1"/>
  <c r="R14" i="1"/>
  <c r="H14" i="1"/>
  <c r="BM8" i="1"/>
  <c r="BN11" i="1"/>
  <c r="BN8" i="1"/>
  <c r="BN7" i="1"/>
  <c r="H5" i="3" s="1"/>
  <c r="BM9" i="1"/>
  <c r="BN10" i="1"/>
  <c r="D14" i="1"/>
  <c r="J14" i="1"/>
  <c r="BM7" i="1"/>
  <c r="I5" i="3" s="1"/>
  <c r="G13" i="2" s="1"/>
  <c r="BM10" i="1"/>
  <c r="BM11" i="1"/>
  <c r="H16" i="3" l="1"/>
  <c r="G14" i="2"/>
  <c r="G18" i="2" s="1"/>
  <c r="G22" i="2" s="1"/>
  <c r="N5" i="3"/>
  <c r="V5" i="3" s="1"/>
  <c r="I16" i="3"/>
  <c r="N10" i="3"/>
  <c r="BO12" i="1"/>
  <c r="N8" i="3"/>
  <c r="V8" i="3" s="1"/>
  <c r="BO10" i="1"/>
  <c r="BN14" i="1"/>
  <c r="BO9" i="1"/>
  <c r="N7" i="3"/>
  <c r="V7" i="3" s="1"/>
  <c r="BM14" i="1"/>
  <c r="BO7" i="1"/>
  <c r="BO11" i="1"/>
  <c r="N9" i="3"/>
  <c r="V9" i="3" s="1"/>
  <c r="N6" i="3"/>
  <c r="V6" i="3" s="1"/>
  <c r="BO8" i="1"/>
  <c r="V10" i="3" l="1"/>
  <c r="N16" i="3"/>
  <c r="BO14" i="1"/>
  <c r="U12" i="3" l="1"/>
  <c r="U16" i="3" s="1"/>
  <c r="P16" i="3"/>
  <c r="V12" i="3"/>
  <c r="V16" i="3" s="1"/>
  <c r="C53" i="1" l="1"/>
  <c r="C56" i="1" s="1"/>
  <c r="C58" i="1" s="1"/>
</calcChain>
</file>

<file path=xl/sharedStrings.xml><?xml version="1.0" encoding="utf-8"?>
<sst xmlns="http://schemas.openxmlformats.org/spreadsheetml/2006/main" count="380" uniqueCount="132">
  <si>
    <t>NO</t>
  </si>
  <si>
    <t>NAMA TERAPIS</t>
  </si>
  <si>
    <t>TANGGAL</t>
  </si>
  <si>
    <t>JUMLAH</t>
  </si>
  <si>
    <t>VINA</t>
  </si>
  <si>
    <t>KOMISI</t>
  </si>
  <si>
    <t>LEMBUR</t>
  </si>
  <si>
    <t>KOMISI &amp; LEMBUR</t>
  </si>
  <si>
    <t>Komponen Gaji</t>
  </si>
  <si>
    <t>Diterima (Rp)</t>
  </si>
  <si>
    <t>Gaji Pokok</t>
  </si>
  <si>
    <t>Komisi</t>
  </si>
  <si>
    <t>Potongan (Absensi, dll)</t>
  </si>
  <si>
    <t>Total Gaji Diterima</t>
  </si>
  <si>
    <t>Manajer / Pemilik</t>
  </si>
  <si>
    <t>TANDA TERIMA PENDAPATAN</t>
  </si>
  <si>
    <t>SELESA SALON &amp; SPA SEMARANG</t>
  </si>
  <si>
    <t>:</t>
  </si>
  <si>
    <t xml:space="preserve">Nama Karyawan </t>
  </si>
  <si>
    <t xml:space="preserve">Jabatan </t>
  </si>
  <si>
    <t xml:space="preserve">Periode Gaji </t>
  </si>
  <si>
    <t>Terapis</t>
  </si>
  <si>
    <t>Lembur</t>
  </si>
  <si>
    <t>Tunjangan</t>
  </si>
  <si>
    <t>Bonus</t>
  </si>
  <si>
    <t>Keterangan</t>
  </si>
  <si>
    <t>Tanda Tangan Penerima</t>
  </si>
  <si>
    <t>Semarang, 04 Agustus 2026</t>
  </si>
  <si>
    <t>JUMLAH ALL</t>
  </si>
  <si>
    <t>AGUSTINA (VINA)</t>
  </si>
  <si>
    <t>PIKY APRILI (PIKY)</t>
  </si>
  <si>
    <t>ARTIKA SARI HASSAN YUDHA PUTRI (ARTIKA)</t>
  </si>
  <si>
    <t>Keterlambatan</t>
  </si>
  <si>
    <t>PRABA INTAN</t>
  </si>
  <si>
    <t>Hari</t>
  </si>
  <si>
    <t>Menit</t>
  </si>
  <si>
    <t>NAMA</t>
  </si>
  <si>
    <t>GP</t>
  </si>
  <si>
    <t>JHK</t>
  </si>
  <si>
    <t>MANGKIR</t>
  </si>
  <si>
    <t>HARI</t>
  </si>
  <si>
    <t>JML MANGKIR</t>
  </si>
  <si>
    <t>KETERLAMBATAN</t>
  </si>
  <si>
    <t>MENIT</t>
  </si>
  <si>
    <t>JML MENIT</t>
  </si>
  <si>
    <t>RP</t>
  </si>
  <si>
    <t>LEMBUR/U.MAKAN</t>
  </si>
  <si>
    <t>JML LMBR/U.MKN</t>
  </si>
  <si>
    <t>(1)</t>
  </si>
  <si>
    <t>(2)</t>
  </si>
  <si>
    <t>(3)</t>
  </si>
  <si>
    <t>(4)</t>
  </si>
  <si>
    <t>(5)</t>
  </si>
  <si>
    <t>(6)</t>
  </si>
  <si>
    <t>BONUS</t>
  </si>
  <si>
    <t>TARGET</t>
  </si>
  <si>
    <t>KASBON</t>
  </si>
  <si>
    <t>(7)</t>
  </si>
  <si>
    <t>(8)</t>
  </si>
  <si>
    <t>(9)</t>
  </si>
  <si>
    <t>(10)</t>
  </si>
  <si>
    <t>(11)</t>
  </si>
  <si>
    <t>LAIN2</t>
  </si>
  <si>
    <t>POT.</t>
  </si>
  <si>
    <t>PENDAPATAN</t>
  </si>
  <si>
    <t xml:space="preserve">PENDAPATAN </t>
  </si>
  <si>
    <t>BERSIH</t>
  </si>
  <si>
    <t>JML</t>
  </si>
  <si>
    <t>POTONGAN</t>
  </si>
  <si>
    <t>KOTOR</t>
  </si>
  <si>
    <t>(12)</t>
  </si>
  <si>
    <t>(13)</t>
  </si>
  <si>
    <t>(14)</t>
  </si>
  <si>
    <t>(15)</t>
  </si>
  <si>
    <t>POSISI</t>
  </si>
  <si>
    <t>TERAPIS</t>
  </si>
  <si>
    <t>Juli 2026</t>
  </si>
  <si>
    <t>Status Pegawai</t>
  </si>
  <si>
    <t>Tetap</t>
  </si>
  <si>
    <t>Titipan TIP</t>
  </si>
  <si>
    <t>Pot. Keterlambatan</t>
  </si>
  <si>
    <t>TUNJANGAN</t>
  </si>
  <si>
    <t>Kehadiran</t>
  </si>
  <si>
    <t>Lain2</t>
  </si>
  <si>
    <t>Kasir</t>
  </si>
  <si>
    <t>Marketing</t>
  </si>
  <si>
    <t>REMUNERASI</t>
  </si>
  <si>
    <t>ZAKAT + GOJEK</t>
  </si>
  <si>
    <t>NETTO</t>
  </si>
  <si>
    <t>JML. PENGELUARAN</t>
  </si>
  <si>
    <t>Krim CR</t>
  </si>
  <si>
    <t>Tdk Masuk</t>
  </si>
  <si>
    <t>Pendapatan Kotor</t>
  </si>
  <si>
    <t>Jumlah Potongan</t>
  </si>
  <si>
    <t xml:space="preserve">Pot. Tdk masuk </t>
  </si>
  <si>
    <t>Hari/Menit</t>
  </si>
  <si>
    <t>Harsat</t>
  </si>
  <si>
    <t>Tunj Kos &amp; Kehadiran</t>
  </si>
  <si>
    <t xml:space="preserve">Tunj Kos </t>
  </si>
  <si>
    <t>BY OPERASIONAL</t>
  </si>
  <si>
    <t>ACTUAL SALDO 03/08</t>
  </si>
  <si>
    <t>17.33</t>
  </si>
  <si>
    <t>Office Girl</t>
  </si>
  <si>
    <t>Lain-lain</t>
  </si>
  <si>
    <t>GESTI (GEGE)</t>
  </si>
  <si>
    <t>SERVICE EXCELENT, NO COMPLAIN, KEHADIRAN</t>
  </si>
  <si>
    <t>PRODUK</t>
  </si>
  <si>
    <t>LOREAL HAIR SPA</t>
  </si>
  <si>
    <t>ML</t>
  </si>
  <si>
    <t>GR</t>
  </si>
  <si>
    <t>PAX</t>
  </si>
  <si>
    <t>POMPIA HAIR SPA</t>
  </si>
  <si>
    <t>TUMITKU OBAT CALLUS</t>
  </si>
  <si>
    <t>LOREAL SCALP KETOMBE</t>
  </si>
  <si>
    <t>TGL STOK KELUAR</t>
  </si>
  <si>
    <t>CUSTOMER</t>
  </si>
  <si>
    <t>JAM STOK KELUAR</t>
  </si>
  <si>
    <t>12.00</t>
  </si>
  <si>
    <t>ANA</t>
  </si>
  <si>
    <t>WULAN</t>
  </si>
  <si>
    <t>JML PROD. MASUK</t>
  </si>
  <si>
    <t>TGL STOK MASUK</t>
  </si>
  <si>
    <t>BUAH</t>
  </si>
  <si>
    <t>BERAT GROSS PROD. MASUK</t>
  </si>
  <si>
    <t>JML STOK DOSIS PER CUST</t>
  </si>
  <si>
    <t>DOSIS PER CUST</t>
  </si>
  <si>
    <t>STOK PROD. KELUAR PER CUST</t>
  </si>
  <si>
    <t>SISA STOK PROD</t>
  </si>
  <si>
    <t>SERUM ERHA HAIR GROWTH</t>
  </si>
  <si>
    <t>10.00</t>
  </si>
  <si>
    <t>17.00</t>
  </si>
  <si>
    <t>16.00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</si>
</sst>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9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41" fontId="0" fillId="0" borderId="1" xfId="0" applyNumberFormat="1" applyBorder="1"/>
    <xf numFmtId="41" fontId="0" fillId="0" borderId="1" xfId="1" applyFont="1" applyBorder="1"/>
    <xf numFmtId="0" fontId="2" fillId="0" borderId="1" xfId="0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1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41" fontId="2" fillId="2" borderId="3" xfId="0" applyNumberFormat="1" applyFont="1" applyFill="1" applyBorder="1"/>
    <xf numFmtId="0" fontId="2" fillId="2" borderId="5" xfId="0" applyFont="1" applyFill="1" applyBorder="1" applyAlignment="1">
      <alignment horizontal="center"/>
    </xf>
    <xf numFmtId="41" fontId="0" fillId="0" borderId="2" xfId="1" applyFont="1" applyBorder="1"/>
    <xf numFmtId="41" fontId="0" fillId="0" borderId="5" xfId="1" applyFont="1" applyBorder="1"/>
    <xf numFmtId="41" fontId="2" fillId="2" borderId="2" xfId="0" applyNumberFormat="1" applyFont="1" applyFill="1" applyBorder="1"/>
    <xf numFmtId="41" fontId="2" fillId="2" borderId="5" xfId="0" applyNumberFormat="1" applyFont="1" applyFill="1" applyBorder="1"/>
    <xf numFmtId="41" fontId="0" fillId="0" borderId="3" xfId="0" applyNumberFormat="1" applyBorder="1"/>
    <xf numFmtId="0" fontId="0" fillId="0" borderId="3" xfId="0" applyBorder="1"/>
    <xf numFmtId="0" fontId="2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41" fontId="0" fillId="0" borderId="6" xfId="1" applyFont="1" applyBorder="1"/>
    <xf numFmtId="41" fontId="0" fillId="0" borderId="4" xfId="1" applyFont="1" applyBorder="1"/>
    <xf numFmtId="41" fontId="2" fillId="2" borderId="6" xfId="0" applyNumberFormat="1" applyFont="1" applyFill="1" applyBorder="1"/>
    <xf numFmtId="41" fontId="2" fillId="2" borderId="4" xfId="0" applyNumberFormat="1" applyFont="1" applyFill="1" applyBorder="1"/>
    <xf numFmtId="0" fontId="0" fillId="0" borderId="4" xfId="0" applyBorder="1"/>
    <xf numFmtId="41" fontId="0" fillId="0" borderId="4" xfId="0" applyNumberFormat="1" applyBorder="1"/>
    <xf numFmtId="41" fontId="0" fillId="0" borderId="0" xfId="0" applyNumberFormat="1"/>
    <xf numFmtId="0" fontId="0" fillId="0" borderId="13" xfId="0" applyBorder="1"/>
    <xf numFmtId="0" fontId="0" fillId="0" borderId="17" xfId="0" applyBorder="1"/>
    <xf numFmtId="41" fontId="0" fillId="2" borderId="0" xfId="0" applyNumberFormat="1" applyFill="1"/>
    <xf numFmtId="41" fontId="2" fillId="2" borderId="0" xfId="0" applyNumberFormat="1" applyFont="1" applyFill="1"/>
    <xf numFmtId="41" fontId="6" fillId="3" borderId="1" xfId="0" applyNumberFormat="1" applyFont="1" applyFill="1" applyBorder="1"/>
    <xf numFmtId="41" fontId="6" fillId="3" borderId="19" xfId="0" applyNumberFormat="1" applyFont="1" applyFill="1" applyBorder="1"/>
    <xf numFmtId="41" fontId="6" fillId="3" borderId="20" xfId="0" applyNumberFormat="1" applyFont="1" applyFill="1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5" fillId="0" borderId="0" xfId="0" applyFont="1" applyAlignment="1">
      <alignment vertical="center"/>
    </xf>
    <xf numFmtId="0" fontId="2" fillId="0" borderId="0" xfId="0" applyFont="1"/>
    <xf numFmtId="0" fontId="0" fillId="0" borderId="26" xfId="0" applyBorder="1"/>
    <xf numFmtId="0" fontId="0" fillId="0" borderId="28" xfId="0" applyBorder="1"/>
    <xf numFmtId="0" fontId="0" fillId="0" borderId="22" xfId="0" applyBorder="1" applyAlignment="1">
      <alignment vertical="center"/>
    </xf>
    <xf numFmtId="0" fontId="0" fillId="0" borderId="0" xfId="0" quotePrefix="1"/>
    <xf numFmtId="41" fontId="0" fillId="0" borderId="0" xfId="1" applyFont="1"/>
    <xf numFmtId="41" fontId="2" fillId="0" borderId="18" xfId="1" applyFont="1" applyFill="1" applyBorder="1"/>
    <xf numFmtId="41" fontId="2" fillId="0" borderId="31" xfId="1" applyFont="1" applyBorder="1" applyAlignment="1">
      <alignment horizontal="center" vertical="center"/>
    </xf>
    <xf numFmtId="41" fontId="2" fillId="2" borderId="31" xfId="1" applyFont="1" applyFill="1" applyBorder="1" applyAlignment="1">
      <alignment horizontal="center" vertical="center"/>
    </xf>
    <xf numFmtId="41" fontId="2" fillId="4" borderId="31" xfId="1" applyFont="1" applyFill="1" applyBorder="1" applyAlignment="1">
      <alignment horizontal="center"/>
    </xf>
    <xf numFmtId="41" fontId="2" fillId="5" borderId="31" xfId="1" applyFont="1" applyFill="1" applyBorder="1" applyAlignment="1">
      <alignment horizontal="center" vertical="center"/>
    </xf>
    <xf numFmtId="41" fontId="2" fillId="0" borderId="32" xfId="1" applyFont="1" applyBorder="1"/>
    <xf numFmtId="41" fontId="0" fillId="0" borderId="32" xfId="1" applyFont="1" applyBorder="1"/>
    <xf numFmtId="41" fontId="0" fillId="0" borderId="33" xfId="1" quotePrefix="1" applyFont="1" applyBorder="1" applyAlignment="1">
      <alignment horizontal="center" vertical="center"/>
    </xf>
    <xf numFmtId="41" fontId="0" fillId="0" borderId="33" xfId="1" applyFont="1" applyBorder="1" applyAlignment="1">
      <alignment horizontal="center" vertical="center"/>
    </xf>
    <xf numFmtId="41" fontId="0" fillId="2" borderId="33" xfId="1" quotePrefix="1" applyFont="1" applyFill="1" applyBorder="1" applyAlignment="1">
      <alignment horizontal="center" vertical="center"/>
    </xf>
    <xf numFmtId="41" fontId="0" fillId="4" borderId="33" xfId="1" quotePrefix="1" applyFont="1" applyFill="1" applyBorder="1" applyAlignment="1">
      <alignment horizontal="center" vertical="center"/>
    </xf>
    <xf numFmtId="41" fontId="0" fillId="5" borderId="33" xfId="1" quotePrefix="1" applyFont="1" applyFill="1" applyBorder="1" applyAlignment="1">
      <alignment horizontal="center" vertical="center"/>
    </xf>
    <xf numFmtId="41" fontId="0" fillId="0" borderId="34" xfId="1" applyFont="1" applyBorder="1"/>
    <xf numFmtId="41" fontId="0" fillId="0" borderId="34" xfId="1" applyFont="1" applyBorder="1" applyAlignment="1">
      <alignment horizontal="center" vertical="center"/>
    </xf>
    <xf numFmtId="41" fontId="0" fillId="2" borderId="34" xfId="1" applyFont="1" applyFill="1" applyBorder="1" applyAlignment="1">
      <alignment horizontal="center" vertical="center"/>
    </xf>
    <xf numFmtId="41" fontId="0" fillId="4" borderId="34" xfId="1" applyFont="1" applyFill="1" applyBorder="1" applyAlignment="1">
      <alignment horizontal="center" vertical="center"/>
    </xf>
    <xf numFmtId="41" fontId="0" fillId="5" borderId="34" xfId="1" applyFont="1" applyFill="1" applyBorder="1" applyAlignment="1">
      <alignment horizontal="center" vertical="center"/>
    </xf>
    <xf numFmtId="41" fontId="2" fillId="0" borderId="35" xfId="1" applyFont="1" applyBorder="1" applyAlignment="1">
      <alignment horizontal="center" vertical="center"/>
    </xf>
    <xf numFmtId="41" fontId="2" fillId="0" borderId="35" xfId="1" applyFont="1" applyBorder="1"/>
    <xf numFmtId="41" fontId="2" fillId="2" borderId="35" xfId="1" applyFont="1" applyFill="1" applyBorder="1" applyAlignment="1">
      <alignment horizontal="center" vertical="center"/>
    </xf>
    <xf numFmtId="41" fontId="2" fillId="4" borderId="35" xfId="1" applyFont="1" applyFill="1" applyBorder="1" applyAlignment="1">
      <alignment horizontal="center"/>
    </xf>
    <xf numFmtId="41" fontId="2" fillId="5" borderId="35" xfId="1" applyFont="1" applyFill="1" applyBorder="1" applyAlignment="1">
      <alignment horizontal="center" vertical="center"/>
    </xf>
    <xf numFmtId="41" fontId="0" fillId="0" borderId="31" xfId="1" applyFont="1" applyBorder="1"/>
    <xf numFmtId="41" fontId="0" fillId="2" borderId="32" xfId="1" applyFont="1" applyFill="1" applyBorder="1"/>
    <xf numFmtId="41" fontId="0" fillId="4" borderId="32" xfId="1" applyFont="1" applyFill="1" applyBorder="1"/>
    <xf numFmtId="41" fontId="2" fillId="0" borderId="32" xfId="1" applyFont="1" applyFill="1" applyBorder="1"/>
    <xf numFmtId="41" fontId="2" fillId="0" borderId="34" xfId="1" applyFont="1" applyBorder="1"/>
    <xf numFmtId="41" fontId="0" fillId="4" borderId="34" xfId="1" applyFont="1" applyFill="1" applyBorder="1"/>
    <xf numFmtId="41" fontId="2" fillId="0" borderId="36" xfId="1" applyFont="1" applyBorder="1"/>
    <xf numFmtId="41" fontId="0" fillId="0" borderId="36" xfId="1" applyFont="1" applyBorder="1"/>
    <xf numFmtId="41" fontId="0" fillId="0" borderId="36" xfId="1" quotePrefix="1" applyFont="1" applyBorder="1"/>
    <xf numFmtId="41" fontId="2" fillId="0" borderId="37" xfId="1" applyFont="1" applyFill="1" applyBorder="1"/>
    <xf numFmtId="41" fontId="0" fillId="0" borderId="37" xfId="1" applyFont="1" applyBorder="1"/>
    <xf numFmtId="41" fontId="0" fillId="2" borderId="1" xfId="1" applyFont="1" applyFill="1" applyBorder="1"/>
    <xf numFmtId="41" fontId="0" fillId="4" borderId="1" xfId="1" applyFont="1" applyFill="1" applyBorder="1"/>
    <xf numFmtId="41" fontId="0" fillId="0" borderId="3" xfId="1" applyFont="1" applyBorder="1" applyAlignment="1">
      <alignment horizontal="center"/>
    </xf>
    <xf numFmtId="41" fontId="2" fillId="0" borderId="34" xfId="1" applyFont="1" applyFill="1" applyBorder="1"/>
    <xf numFmtId="41" fontId="0" fillId="2" borderId="39" xfId="1" applyFont="1" applyFill="1" applyBorder="1"/>
    <xf numFmtId="41" fontId="0" fillId="4" borderId="39" xfId="1" applyFont="1" applyFill="1" applyBorder="1"/>
    <xf numFmtId="41" fontId="2" fillId="5" borderId="1" xfId="1" applyFont="1" applyFill="1" applyBorder="1"/>
    <xf numFmtId="41" fontId="2" fillId="5" borderId="36" xfId="1" applyFont="1" applyFill="1" applyBorder="1"/>
    <xf numFmtId="41" fontId="2" fillId="5" borderId="34" xfId="1" applyFont="1" applyFill="1" applyBorder="1"/>
    <xf numFmtId="0" fontId="6" fillId="3" borderId="1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41" fontId="4" fillId="0" borderId="10" xfId="0" applyNumberFormat="1" applyFont="1" applyBorder="1" applyAlignment="1">
      <alignment vertical="center" wrapText="1"/>
    </xf>
    <xf numFmtId="41" fontId="2" fillId="0" borderId="35" xfId="1" applyFont="1" applyBorder="1" applyAlignment="1">
      <alignment vertical="center"/>
    </xf>
    <xf numFmtId="41" fontId="2" fillId="0" borderId="0" xfId="0" applyNumberFormat="1" applyFont="1"/>
    <xf numFmtId="41" fontId="8" fillId="2" borderId="1" xfId="0" applyNumberFormat="1" applyFont="1" applyFill="1" applyBorder="1"/>
    <xf numFmtId="41" fontId="0" fillId="2" borderId="1" xfId="0" applyNumberFormat="1" applyFill="1" applyBorder="1"/>
    <xf numFmtId="0" fontId="0" fillId="0" borderId="1" xfId="0" applyBorder="1" applyAlignment="1">
      <alignment horizontal="center"/>
    </xf>
    <xf numFmtId="41" fontId="7" fillId="0" borderId="1" xfId="0" applyNumberFormat="1" applyFont="1" applyBorder="1"/>
    <xf numFmtId="41" fontId="4" fillId="0" borderId="8" xfId="0" applyNumberFormat="1" applyFont="1" applyBorder="1" applyAlignment="1">
      <alignment horizontal="right" vertical="center" wrapText="1"/>
    </xf>
    <xf numFmtId="41" fontId="4" fillId="0" borderId="8" xfId="0" applyNumberFormat="1" applyFont="1" applyBorder="1" applyAlignment="1">
      <alignment vertical="center" wrapText="1"/>
    </xf>
    <xf numFmtId="0" fontId="4" fillId="0" borderId="8" xfId="0" applyFont="1" applyBorder="1" applyAlignment="1">
      <alignment horizontal="right" vertical="center" wrapText="1"/>
    </xf>
    <xf numFmtId="41" fontId="4" fillId="0" borderId="8" xfId="1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41" fontId="4" fillId="2" borderId="10" xfId="0" applyNumberFormat="1" applyFont="1" applyFill="1" applyBorder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1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41" fontId="4" fillId="0" borderId="0" xfId="0" applyNumberFormat="1" applyFont="1" applyAlignment="1">
      <alignment horizontal="center" vertical="center"/>
    </xf>
    <xf numFmtId="0" fontId="4" fillId="0" borderId="0" xfId="0" applyFont="1"/>
    <xf numFmtId="0" fontId="9" fillId="0" borderId="0" xfId="0" applyFont="1" applyAlignment="1">
      <alignment horizontal="center"/>
    </xf>
    <xf numFmtId="0" fontId="4" fillId="0" borderId="27" xfId="0" applyFont="1" applyBorder="1"/>
    <xf numFmtId="41" fontId="9" fillId="0" borderId="51" xfId="0" applyNumberFormat="1" applyFont="1" applyBorder="1" applyAlignment="1">
      <alignment vertical="center" wrapText="1"/>
    </xf>
    <xf numFmtId="41" fontId="4" fillId="2" borderId="51" xfId="0" applyNumberFormat="1" applyFont="1" applyFill="1" applyBorder="1" applyAlignment="1">
      <alignment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41" fontId="0" fillId="2" borderId="43" xfId="1" applyFont="1" applyFill="1" applyBorder="1"/>
    <xf numFmtId="0" fontId="6" fillId="3" borderId="18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1" fontId="0" fillId="0" borderId="2" xfId="1" applyFont="1" applyBorder="1" applyAlignment="1">
      <alignment horizontal="center"/>
    </xf>
    <xf numFmtId="41" fontId="0" fillId="0" borderId="3" xfId="1" applyFont="1" applyBorder="1" applyAlignment="1">
      <alignment horizontal="center"/>
    </xf>
    <xf numFmtId="41" fontId="2" fillId="0" borderId="14" xfId="1" applyFont="1" applyBorder="1" applyAlignment="1">
      <alignment horizontal="center" vertical="center"/>
    </xf>
    <xf numFmtId="41" fontId="2" fillId="0" borderId="18" xfId="1" applyFont="1" applyBorder="1" applyAlignment="1">
      <alignment horizontal="center" vertical="center"/>
    </xf>
    <xf numFmtId="41" fontId="2" fillId="0" borderId="38" xfId="1" applyFont="1" applyBorder="1" applyAlignment="1">
      <alignment horizontal="center" vertical="center"/>
    </xf>
    <xf numFmtId="41" fontId="2" fillId="0" borderId="31" xfId="1" applyFont="1" applyBorder="1" applyAlignment="1">
      <alignment horizontal="center"/>
    </xf>
    <xf numFmtId="41" fontId="2" fillId="0" borderId="31" xfId="1" applyFont="1" applyBorder="1" applyAlignment="1">
      <alignment horizontal="center" vertical="center"/>
    </xf>
    <xf numFmtId="41" fontId="2" fillId="0" borderId="35" xfId="1" applyFont="1" applyBorder="1" applyAlignment="1">
      <alignment horizontal="center" vertical="center"/>
    </xf>
    <xf numFmtId="41" fontId="2" fillId="0" borderId="32" xfId="1" applyFont="1" applyBorder="1" applyAlignment="1">
      <alignment horizontal="center" vertical="center"/>
    </xf>
    <xf numFmtId="41" fontId="2" fillId="0" borderId="37" xfId="1" applyFont="1" applyBorder="1" applyAlignment="1">
      <alignment horizontal="center" vertical="center"/>
    </xf>
    <xf numFmtId="41" fontId="2" fillId="0" borderId="33" xfId="1" applyFont="1" applyBorder="1" applyAlignment="1">
      <alignment horizontal="center" vertical="center"/>
    </xf>
    <xf numFmtId="41" fontId="2" fillId="0" borderId="44" xfId="1" applyFont="1" applyBorder="1" applyAlignment="1">
      <alignment horizontal="center" vertical="center"/>
    </xf>
    <xf numFmtId="41" fontId="2" fillId="0" borderId="45" xfId="1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0" borderId="9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9" fillId="0" borderId="46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4" fillId="0" borderId="56" xfId="0" applyFont="1" applyBorder="1" applyAlignment="1">
      <alignment horizontal="left" vertical="center" wrapText="1"/>
    </xf>
    <xf numFmtId="0" fontId="4" fillId="0" borderId="5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/>
    <xf numFmtId="0" fontId="2" fillId="0" borderId="16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41" fontId="0" fillId="0" borderId="1" xfId="1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MPO\Downloads\TEMPLATE%20JADWAL%20SELESA%20(1).xlsx" TargetMode="External"/><Relationship Id="rId1" Type="http://schemas.openxmlformats.org/officeDocument/2006/relationships/externalLinkPath" Target="file:///C:\Users\NIMPO\Downloads\TEMPLATE%20JADWAL%20SELESA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MPO\Downloads\TEMPLATE%20JADWAL%20SELESA%20(2).xlsx" TargetMode="External"/><Relationship Id="rId1" Type="http://schemas.openxmlformats.org/officeDocument/2006/relationships/externalLinkPath" Target="file:///C:\Users\NIMPO\Downloads\TEMPLATE%20JADWAL%20SELESA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MPO\Downloads\TEMPLATE%20JADWAL%20SELESA%20(3).xlsx" TargetMode="External"/><Relationship Id="rId1" Type="http://schemas.openxmlformats.org/officeDocument/2006/relationships/externalLinkPath" Target="file:///C:\Users\NIMPO\Downloads\TEMPLATE%20JADWAL%20SELESA%20(3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MPO\Downloads\TEMPLATE%20JADWAL%20SELESA%20(5).xlsx" TargetMode="External"/><Relationship Id="rId1" Type="http://schemas.openxmlformats.org/officeDocument/2006/relationships/externalLinkPath" Target="file:///C:\Users\NIMPO\Downloads\TEMPLATE%20JADWAL%20SELES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MPO\Downloads\TEMPLATE%20JADWAL%20SELESA%20(6).xlsx" TargetMode="External"/><Relationship Id="rId1" Type="http://schemas.openxmlformats.org/officeDocument/2006/relationships/externalLinkPath" Target="file:///C:\Users\NIMPO\Downloads\TEMPLATE%20JADWAL%20SELESA%20(6)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MPO\Downloads\TEMPLATE%20JADWAL%20SELESA%20(7).xlsx" TargetMode="External"/><Relationship Id="rId1" Type="http://schemas.openxmlformats.org/officeDocument/2006/relationships/externalLinkPath" Target="file:///C:\Users\NIMPO\Downloads\TEMPLATE%20JADWAL%20SELESA%20(7)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MPO\Downloads\TEMPLATE%20JADWAL%20SELESA%20(4).xlsx" TargetMode="External"/><Relationship Id="rId1" Type="http://schemas.openxmlformats.org/officeDocument/2006/relationships/externalLinkPath" Target="file:///C:\Users\NIMPO\Downloads\TEMPLATE%20JADWAL%20SELESA%20(4)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ELESA\REKAP%20PENGELUARAN%20SELESA%20BULANAN.xlsx" TargetMode="External"/><Relationship Id="rId1" Type="http://schemas.openxmlformats.org/officeDocument/2006/relationships/externalLinkPath" Target="REKAP%20PENGELUARAN%20SELESA%20BULAN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4"/>
      <sheetName val="8 mei 2026"/>
      <sheetName val="9 mei 2026"/>
      <sheetName val="10 mei 2026"/>
      <sheetName val="12 mei 2026"/>
      <sheetName val="13 Mei 2026"/>
      <sheetName val="14 Mei 2026"/>
      <sheetName val="15 Mei 2026"/>
      <sheetName val="16 Mei 2016"/>
      <sheetName val="17 Mei 2026"/>
      <sheetName val="20 Mei 2026"/>
      <sheetName val="21 Mei 2026"/>
      <sheetName val="22 Mei 2026"/>
      <sheetName val="23 Mei 2026"/>
      <sheetName val="24 Mei 2026"/>
      <sheetName val="26 Mei 2026"/>
      <sheetName val="28 Mei 2026"/>
      <sheetName val="29 Mei 2026"/>
      <sheetName val="30 Mei 2026"/>
      <sheetName val="31 Mei 2026"/>
      <sheetName val="1 Juni 2026"/>
      <sheetName val="3 Juni 2026"/>
      <sheetName val="4 Juni 2026"/>
      <sheetName val="5 Juni 2026"/>
      <sheetName val="6 Juni 2026"/>
      <sheetName val="7 Juni 2026"/>
      <sheetName val="8 Juni 2026"/>
      <sheetName val="9 Juni 2026"/>
      <sheetName val="10 Juni 2026"/>
      <sheetName val="11 Juni 2026"/>
      <sheetName val="12 Juni 2026"/>
      <sheetName val="13 Juni 2026"/>
      <sheetName val="14 Juni 2026"/>
      <sheetName val="15 Juni 2026"/>
      <sheetName val="16 Juni 2026"/>
      <sheetName val="17 Juni 2026"/>
      <sheetName val="18 Juni 2026"/>
      <sheetName val="19 Juni 2026"/>
      <sheetName val="20 Juni 2026"/>
      <sheetName val="21 Juni 2026"/>
      <sheetName val="22 Juni 2026"/>
      <sheetName val="23 Juni 2026"/>
      <sheetName val="24 Juni 2026"/>
      <sheetName val="25 Juni 2026"/>
      <sheetName val="26 Juni 2026"/>
      <sheetName val="27 Juni 2026"/>
      <sheetName val="28 Juni 2026"/>
      <sheetName val="30 Juni 2026"/>
      <sheetName val="1  Juli 2026"/>
      <sheetName val="2 Juli 2026"/>
      <sheetName val="3 Juli 2026"/>
      <sheetName val="4 Juli 2026"/>
      <sheetName val="5 Juli 2026"/>
      <sheetName val="6 Juli 2026"/>
      <sheetName val="7 Juli 2026"/>
      <sheetName val="8 Juli 2026"/>
      <sheetName val="9 Juli 2026"/>
      <sheetName val="10 Juli 2026"/>
      <sheetName val="11 Juli 2026"/>
      <sheetName val="12 Juli 2026"/>
      <sheetName val="13 Juli 2026"/>
      <sheetName val="14 Juli 2026"/>
      <sheetName val="15 Juli 2026"/>
      <sheetName val="16 Juli 2026"/>
      <sheetName val="17 Juli 2026"/>
      <sheetName val="18 Juli 2026"/>
      <sheetName val="19 Juli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5">
          <cell r="M5"/>
        </row>
        <row r="6">
          <cell r="M6">
            <v>30500</v>
          </cell>
          <cell r="N6">
            <v>15000</v>
          </cell>
        </row>
        <row r="7">
          <cell r="M7"/>
        </row>
        <row r="8">
          <cell r="M8"/>
        </row>
        <row r="10">
          <cell r="M10">
            <v>22250</v>
          </cell>
          <cell r="N10">
            <v>15000</v>
          </cell>
        </row>
        <row r="11">
          <cell r="M11">
            <v>31112.5</v>
          </cell>
          <cell r="N11">
            <v>15000</v>
          </cell>
        </row>
      </sheetData>
      <sheetData sheetId="50">
        <row r="5">
          <cell r="M5">
            <v>34000</v>
          </cell>
        </row>
        <row r="6">
          <cell r="M6"/>
        </row>
        <row r="7">
          <cell r="M7">
            <v>28500</v>
          </cell>
        </row>
        <row r="8">
          <cell r="M8">
            <v>26412.5</v>
          </cell>
          <cell r="N8">
            <v>15000</v>
          </cell>
        </row>
        <row r="10">
          <cell r="M10"/>
        </row>
        <row r="11">
          <cell r="M11">
            <v>36087.5</v>
          </cell>
          <cell r="N11">
            <v>15000</v>
          </cell>
        </row>
      </sheetData>
      <sheetData sheetId="51">
        <row r="5">
          <cell r="M5"/>
        </row>
        <row r="6">
          <cell r="M6">
            <v>28750</v>
          </cell>
        </row>
        <row r="7">
          <cell r="M7"/>
        </row>
        <row r="8">
          <cell r="M8">
            <v>38000</v>
          </cell>
          <cell r="N8">
            <v>15000</v>
          </cell>
        </row>
        <row r="10">
          <cell r="M10">
            <v>40750</v>
          </cell>
          <cell r="N10">
            <v>15000</v>
          </cell>
        </row>
        <row r="11">
          <cell r="M11">
            <v>43150</v>
          </cell>
        </row>
      </sheetData>
      <sheetData sheetId="52">
        <row r="5">
          <cell r="M5">
            <v>27950</v>
          </cell>
          <cell r="N5">
            <v>15000</v>
          </cell>
        </row>
        <row r="6">
          <cell r="M6">
            <v>35500</v>
          </cell>
          <cell r="N6">
            <v>15000</v>
          </cell>
        </row>
        <row r="7">
          <cell r="M7">
            <v>26750</v>
          </cell>
          <cell r="N7">
            <v>15000</v>
          </cell>
        </row>
        <row r="8">
          <cell r="M8">
            <v>24250</v>
          </cell>
          <cell r="N8">
            <v>15000</v>
          </cell>
        </row>
        <row r="10">
          <cell r="M10">
            <v>37400</v>
          </cell>
          <cell r="N10">
            <v>15000</v>
          </cell>
        </row>
        <row r="11">
          <cell r="M11">
            <v>44250</v>
          </cell>
          <cell r="N11">
            <v>15000</v>
          </cell>
        </row>
      </sheetData>
      <sheetData sheetId="53">
        <row r="5">
          <cell r="M5">
            <v>26250</v>
          </cell>
        </row>
        <row r="6">
          <cell r="M6">
            <v>39900</v>
          </cell>
          <cell r="N6">
            <v>15000</v>
          </cell>
        </row>
        <row r="7">
          <cell r="M7">
            <v>48900</v>
          </cell>
          <cell r="N7">
            <v>15000</v>
          </cell>
        </row>
        <row r="8">
          <cell r="M8">
            <v>28000</v>
          </cell>
          <cell r="N8">
            <v>15000</v>
          </cell>
        </row>
        <row r="10">
          <cell r="M10">
            <v>40250</v>
          </cell>
          <cell r="N10">
            <v>15000</v>
          </cell>
        </row>
        <row r="11">
          <cell r="M11">
            <v>38000</v>
          </cell>
          <cell r="N11">
            <v>15000</v>
          </cell>
        </row>
      </sheetData>
      <sheetData sheetId="54">
        <row r="5">
          <cell r="M5">
            <v>23500</v>
          </cell>
        </row>
        <row r="6">
          <cell r="M6"/>
        </row>
        <row r="7">
          <cell r="M7">
            <v>16525</v>
          </cell>
        </row>
        <row r="8">
          <cell r="M8"/>
        </row>
        <row r="10">
          <cell r="M10">
            <v>19887.5</v>
          </cell>
          <cell r="N10">
            <v>15000</v>
          </cell>
        </row>
        <row r="11">
          <cell r="M11">
            <v>14250</v>
          </cell>
        </row>
      </sheetData>
      <sheetData sheetId="55">
        <row r="5">
          <cell r="M5"/>
        </row>
        <row r="6">
          <cell r="M6">
            <v>12250</v>
          </cell>
        </row>
        <row r="7">
          <cell r="M7"/>
        </row>
        <row r="8">
          <cell r="M8">
            <v>28150</v>
          </cell>
          <cell r="N8">
            <v>15000</v>
          </cell>
        </row>
        <row r="10">
          <cell r="M10">
            <v>13750</v>
          </cell>
        </row>
        <row r="11">
          <cell r="M11">
            <v>35375</v>
          </cell>
          <cell r="N11">
            <v>15000</v>
          </cell>
        </row>
      </sheetData>
      <sheetData sheetId="56">
        <row r="5">
          <cell r="M5">
            <v>23876.25</v>
          </cell>
        </row>
        <row r="6">
          <cell r="M6">
            <v>46150</v>
          </cell>
          <cell r="N6">
            <v>15000</v>
          </cell>
        </row>
        <row r="7">
          <cell r="M7">
            <v>37712.5</v>
          </cell>
          <cell r="N7">
            <v>15000</v>
          </cell>
        </row>
        <row r="8">
          <cell r="M8">
            <v>38750</v>
          </cell>
          <cell r="N8">
            <v>15000</v>
          </cell>
        </row>
        <row r="10">
          <cell r="M10">
            <v>23437.5</v>
          </cell>
        </row>
        <row r="11">
          <cell r="M11">
            <v>34500</v>
          </cell>
          <cell r="N11">
            <v>15000</v>
          </cell>
        </row>
      </sheetData>
      <sheetData sheetId="57">
        <row r="5">
          <cell r="M5">
            <v>20500</v>
          </cell>
          <cell r="N5">
            <v>15000</v>
          </cell>
        </row>
        <row r="6">
          <cell r="M6">
            <v>23937.5</v>
          </cell>
        </row>
        <row r="7">
          <cell r="M7">
            <v>18500</v>
          </cell>
          <cell r="N7">
            <v>15000</v>
          </cell>
        </row>
        <row r="8">
          <cell r="M8">
            <v>14000</v>
          </cell>
        </row>
        <row r="10">
          <cell r="M10">
            <v>21000</v>
          </cell>
          <cell r="N10">
            <v>15000</v>
          </cell>
        </row>
        <row r="11">
          <cell r="M11"/>
        </row>
      </sheetData>
      <sheetData sheetId="58">
        <row r="5">
          <cell r="M5">
            <v>6250</v>
          </cell>
        </row>
        <row r="6">
          <cell r="M6">
            <v>13500</v>
          </cell>
        </row>
        <row r="7">
          <cell r="M7">
            <v>25250</v>
          </cell>
        </row>
        <row r="8">
          <cell r="M8">
            <v>15500</v>
          </cell>
        </row>
        <row r="10">
          <cell r="M10">
            <v>19000</v>
          </cell>
        </row>
        <row r="11">
          <cell r="M11">
            <v>26500</v>
          </cell>
          <cell r="N11">
            <v>15000</v>
          </cell>
        </row>
      </sheetData>
      <sheetData sheetId="59">
        <row r="5">
          <cell r="M5">
            <v>22000</v>
          </cell>
          <cell r="N5">
            <v>15000</v>
          </cell>
        </row>
        <row r="6">
          <cell r="M6">
            <v>35900</v>
          </cell>
        </row>
        <row r="7">
          <cell r="M7">
            <v>21800</v>
          </cell>
          <cell r="N7">
            <v>15000</v>
          </cell>
        </row>
        <row r="8">
          <cell r="M8">
            <v>25750</v>
          </cell>
          <cell r="N8">
            <v>15000</v>
          </cell>
        </row>
        <row r="10">
          <cell r="M10">
            <v>29750</v>
          </cell>
          <cell r="N10">
            <v>15000</v>
          </cell>
        </row>
        <row r="11">
          <cell r="M11">
            <v>25950</v>
          </cell>
          <cell r="N11">
            <v>15000</v>
          </cell>
        </row>
      </sheetData>
      <sheetData sheetId="60">
        <row r="5">
          <cell r="M5">
            <v>39400</v>
          </cell>
          <cell r="N5">
            <v>15000</v>
          </cell>
        </row>
        <row r="6">
          <cell r="M6">
            <v>38400</v>
          </cell>
          <cell r="N6">
            <v>15000</v>
          </cell>
        </row>
        <row r="7">
          <cell r="M7">
            <v>34387.5</v>
          </cell>
          <cell r="N7">
            <v>15000</v>
          </cell>
        </row>
        <row r="8">
          <cell r="M8">
            <v>38737.5</v>
          </cell>
          <cell r="N8">
            <v>15000</v>
          </cell>
        </row>
        <row r="10">
          <cell r="M10">
            <v>31875</v>
          </cell>
          <cell r="N10">
            <v>15000</v>
          </cell>
        </row>
        <row r="11">
          <cell r="M11">
            <v>30887.5</v>
          </cell>
          <cell r="N11">
            <v>15000</v>
          </cell>
        </row>
      </sheetData>
      <sheetData sheetId="61">
        <row r="5">
          <cell r="M5"/>
        </row>
        <row r="6">
          <cell r="M6">
            <v>33060</v>
          </cell>
        </row>
        <row r="7">
          <cell r="M7">
            <v>1000</v>
          </cell>
        </row>
        <row r="8">
          <cell r="M8">
            <v>26000</v>
          </cell>
        </row>
        <row r="10">
          <cell r="M10">
            <v>32625</v>
          </cell>
        </row>
        <row r="11">
          <cell r="M11"/>
        </row>
      </sheetData>
      <sheetData sheetId="62">
        <row r="5">
          <cell r="M5"/>
        </row>
        <row r="6">
          <cell r="M6">
            <v>20225</v>
          </cell>
          <cell r="N6">
            <v>15000</v>
          </cell>
        </row>
        <row r="7">
          <cell r="M7">
            <v>27750</v>
          </cell>
          <cell r="N7">
            <v>15000</v>
          </cell>
        </row>
        <row r="8">
          <cell r="M8"/>
        </row>
        <row r="10">
          <cell r="M10"/>
        </row>
        <row r="11">
          <cell r="M11">
            <v>22500</v>
          </cell>
        </row>
      </sheetData>
      <sheetData sheetId="63">
        <row r="5">
          <cell r="M5">
            <v>32450</v>
          </cell>
          <cell r="N5">
            <v>15000</v>
          </cell>
        </row>
        <row r="6">
          <cell r="M6"/>
        </row>
        <row r="7">
          <cell r="M7">
            <v>24185</v>
          </cell>
        </row>
        <row r="8">
          <cell r="M8">
            <v>23237.5</v>
          </cell>
          <cell r="N8">
            <v>15000</v>
          </cell>
        </row>
        <row r="10">
          <cell r="M10">
            <v>31875</v>
          </cell>
          <cell r="N10">
            <v>15000</v>
          </cell>
        </row>
        <row r="11">
          <cell r="M11">
            <v>23750</v>
          </cell>
        </row>
      </sheetData>
      <sheetData sheetId="64">
        <row r="5">
          <cell r="M5"/>
        </row>
        <row r="6">
          <cell r="M6">
            <v>12750</v>
          </cell>
        </row>
        <row r="7">
          <cell r="M7"/>
        </row>
        <row r="8">
          <cell r="M8">
            <v>5000</v>
          </cell>
        </row>
        <row r="10">
          <cell r="M10"/>
        </row>
        <row r="11">
          <cell r="M11">
            <v>9750</v>
          </cell>
        </row>
      </sheetData>
      <sheetData sheetId="65">
        <row r="5">
          <cell r="M5">
            <v>5500</v>
          </cell>
        </row>
        <row r="6">
          <cell r="M6">
            <v>16000</v>
          </cell>
          <cell r="N6">
            <v>15000</v>
          </cell>
        </row>
        <row r="7">
          <cell r="M7">
            <v>9750</v>
          </cell>
        </row>
        <row r="8">
          <cell r="M8">
            <v>3000</v>
          </cell>
        </row>
        <row r="10">
          <cell r="M10">
            <v>6500</v>
          </cell>
        </row>
        <row r="11">
          <cell r="M11">
            <v>15000</v>
          </cell>
          <cell r="N11">
            <v>15000</v>
          </cell>
        </row>
      </sheetData>
      <sheetData sheetId="66">
        <row r="5">
          <cell r="M5">
            <v>23000</v>
          </cell>
          <cell r="N5">
            <v>15000</v>
          </cell>
        </row>
        <row r="6">
          <cell r="M6">
            <v>27000</v>
          </cell>
        </row>
        <row r="7">
          <cell r="M7">
            <v>26750</v>
          </cell>
        </row>
        <row r="8">
          <cell r="M8">
            <v>41900</v>
          </cell>
          <cell r="N8">
            <v>15000</v>
          </cell>
        </row>
        <row r="10">
          <cell r="M10">
            <v>25000</v>
          </cell>
        </row>
        <row r="11">
          <cell r="M11">
            <v>40400</v>
          </cell>
          <cell r="N11">
            <v>15000</v>
          </cell>
        </row>
      </sheetData>
      <sheetData sheetId="6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4"/>
      <sheetName val="8 mei 2026"/>
      <sheetName val="9 mei 2026"/>
      <sheetName val="10 mei 2026"/>
      <sheetName val="12 mei 2026"/>
      <sheetName val="13 Mei 2026"/>
      <sheetName val="14 Mei 2026"/>
      <sheetName val="15 Mei 2026"/>
      <sheetName val="16 Mei 2016"/>
      <sheetName val="17 Mei 2026"/>
      <sheetName val="20 Mei 2026"/>
      <sheetName val="21 Mei 2026"/>
      <sheetName val="22 Mei 2026"/>
      <sheetName val="23 Mei 2026"/>
      <sheetName val="24 Mei 2026"/>
      <sheetName val="26 Mei 2026"/>
      <sheetName val="28 Mei 2026"/>
      <sheetName val="29 Mei 2026"/>
      <sheetName val="30 Mei 2026"/>
      <sheetName val="31 Mei 2026"/>
      <sheetName val="1 Juni 2026"/>
      <sheetName val="3 Juni 2026"/>
      <sheetName val="4 Juni 2026"/>
      <sheetName val="5 Juni 2026"/>
      <sheetName val="6 Juni 2026"/>
      <sheetName val="7 Juni 2026"/>
      <sheetName val="8 Juni 2026"/>
      <sheetName val="9 Juni 2026"/>
      <sheetName val="10 Juni 2026"/>
      <sheetName val="11 Juni 2026"/>
      <sheetName val="12 Juni 2026"/>
      <sheetName val="13 Juni 2026"/>
      <sheetName val="14 Juni 2026"/>
      <sheetName val="15 Juni 2026"/>
      <sheetName val="16 Juni 2026"/>
      <sheetName val="17 Juni 2026"/>
      <sheetName val="18 Juni 2026"/>
      <sheetName val="19 Juni 2026"/>
      <sheetName val="20 Juni 2026"/>
      <sheetName val="21 Juni 2026"/>
      <sheetName val="22 Juni 2026"/>
      <sheetName val="23 Juni 2026"/>
      <sheetName val="24 Juni 2026"/>
      <sheetName val="25 Juni 2026"/>
      <sheetName val="26 Juni 2026"/>
      <sheetName val="27 Juni 2026"/>
      <sheetName val="28 Juni 2026"/>
      <sheetName val="30 Juni 2026"/>
      <sheetName val="1  Juli 2026"/>
      <sheetName val="2 Juli 2026"/>
      <sheetName val="3 Juli 2026"/>
      <sheetName val="4 Juli 2026"/>
      <sheetName val="5 Juli 2026"/>
      <sheetName val="6 Juli 2026"/>
      <sheetName val="7 Juli 2026"/>
      <sheetName val="8 Juli 2026"/>
      <sheetName val="9 Juli 2026"/>
      <sheetName val="10 Juli 2026"/>
      <sheetName val="11 Juli 2026"/>
      <sheetName val="12 Juli 2026"/>
      <sheetName val="13 Juli 2026"/>
      <sheetName val="14 Juli 2026"/>
      <sheetName val="15 Juli 2026"/>
      <sheetName val="16 Juli 2026"/>
      <sheetName val="17 Juli 2026"/>
      <sheetName val="18 Juli 2026"/>
      <sheetName val="19 Juli 2026"/>
      <sheetName val="20 Juli 2026"/>
      <sheetName val="21 Juli 2026"/>
      <sheetName val="22 Juli 2026"/>
      <sheetName val="23 Juli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>
        <row r="5">
          <cell r="M5">
            <v>28750</v>
          </cell>
        </row>
        <row r="6">
          <cell r="M6">
            <v>31000</v>
          </cell>
        </row>
        <row r="7">
          <cell r="M7">
            <v>34650</v>
          </cell>
          <cell r="N7">
            <v>15000</v>
          </cell>
        </row>
        <row r="8">
          <cell r="M8">
            <v>29475</v>
          </cell>
          <cell r="N8">
            <v>15000</v>
          </cell>
        </row>
        <row r="10">
          <cell r="M10">
            <v>36500</v>
          </cell>
          <cell r="N10">
            <v>15000</v>
          </cell>
        </row>
        <row r="11">
          <cell r="M11">
            <v>20375</v>
          </cell>
          <cell r="N11">
            <v>15000</v>
          </cell>
        </row>
      </sheetData>
      <sheetData sheetId="68">
        <row r="5">
          <cell r="M5">
            <v>28750</v>
          </cell>
        </row>
        <row r="6">
          <cell r="M6">
            <v>16225</v>
          </cell>
        </row>
        <row r="7">
          <cell r="M7">
            <v>23500</v>
          </cell>
        </row>
        <row r="8">
          <cell r="M8">
            <v>23750</v>
          </cell>
          <cell r="N8">
            <v>15000</v>
          </cell>
        </row>
        <row r="10">
          <cell r="M10">
            <v>23750</v>
          </cell>
        </row>
        <row r="11">
          <cell r="M11">
            <v>21887.5</v>
          </cell>
          <cell r="N11">
            <v>15000</v>
          </cell>
        </row>
      </sheetData>
      <sheetData sheetId="69">
        <row r="5">
          <cell r="M5">
            <v>33250</v>
          </cell>
          <cell r="N5">
            <v>15000</v>
          </cell>
        </row>
        <row r="6">
          <cell r="M6">
            <v>26000</v>
          </cell>
          <cell r="N6">
            <v>15000</v>
          </cell>
        </row>
        <row r="7">
          <cell r="M7">
            <v>21750</v>
          </cell>
        </row>
        <row r="10">
          <cell r="M10">
            <v>24500</v>
          </cell>
          <cell r="N10">
            <v>15000</v>
          </cell>
        </row>
      </sheetData>
      <sheetData sheetId="70">
        <row r="5">
          <cell r="M5">
            <v>38275</v>
          </cell>
          <cell r="N5">
            <v>15000</v>
          </cell>
        </row>
        <row r="6">
          <cell r="M6">
            <v>36250</v>
          </cell>
          <cell r="N6">
            <v>15000</v>
          </cell>
        </row>
        <row r="7">
          <cell r="M7">
            <v>26000</v>
          </cell>
          <cell r="N7">
            <v>15000</v>
          </cell>
        </row>
        <row r="8">
          <cell r="M8">
            <v>27462.5</v>
          </cell>
        </row>
        <row r="10">
          <cell r="M10"/>
        </row>
        <row r="11">
          <cell r="M11">
            <v>20425</v>
          </cell>
          <cell r="N11">
            <v>15000</v>
          </cell>
        </row>
      </sheetData>
      <sheetData sheetId="71">
        <row r="5">
          <cell r="M5">
            <v>27000</v>
          </cell>
        </row>
        <row r="6">
          <cell r="M6"/>
        </row>
        <row r="7">
          <cell r="M7">
            <v>31150</v>
          </cell>
          <cell r="N7">
            <v>15000</v>
          </cell>
        </row>
        <row r="8">
          <cell r="M8">
            <v>12162.5</v>
          </cell>
          <cell r="N8">
            <v>15000</v>
          </cell>
        </row>
        <row r="10">
          <cell r="M10">
            <v>11250</v>
          </cell>
          <cell r="N10">
            <v>15000</v>
          </cell>
        </row>
        <row r="11">
          <cell r="M11">
            <v>19100</v>
          </cell>
          <cell r="N11">
            <v>15000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4"/>
      <sheetName val="8 mei 2026"/>
      <sheetName val="9 mei 2026"/>
      <sheetName val="10 mei 2026"/>
      <sheetName val="12 mei 2026"/>
      <sheetName val="13 Mei 2026"/>
      <sheetName val="14 Mei 2026"/>
      <sheetName val="15 Mei 2026"/>
      <sheetName val="16 Mei 2016"/>
      <sheetName val="17 Mei 2026"/>
      <sheetName val="20 Mei 2026"/>
      <sheetName val="21 Mei 2026"/>
      <sheetName val="22 Mei 2026"/>
      <sheetName val="23 Mei 2026"/>
      <sheetName val="24 Mei 2026"/>
      <sheetName val="26 Mei 2026"/>
      <sheetName val="28 Mei 2026"/>
      <sheetName val="29 Mei 2026"/>
      <sheetName val="30 Mei 2026"/>
      <sheetName val="31 Mei 2026"/>
      <sheetName val="1 Juni 2026"/>
      <sheetName val="3 Juni 2026"/>
      <sheetName val="4 Juni 2026"/>
      <sheetName val="5 Juni 2026"/>
      <sheetName val="6 Juni 2026"/>
      <sheetName val="7 Juni 2026"/>
      <sheetName val="8 Juni 2026"/>
      <sheetName val="9 Juni 2026"/>
      <sheetName val="10 Juni 2026"/>
      <sheetName val="11 Juni 2026"/>
      <sheetName val="12 Juni 2026"/>
      <sheetName val="13 Juni 2026"/>
      <sheetName val="14 Juni 2026"/>
      <sheetName val="15 Juni 2026"/>
      <sheetName val="16 Juni 2026"/>
      <sheetName val="17 Juni 2026"/>
      <sheetName val="18 Juni 2026"/>
      <sheetName val="19 Juni 2026"/>
      <sheetName val="20 Juni 2026"/>
      <sheetName val="21 Juni 2026"/>
      <sheetName val="22 Juni 2026"/>
      <sheetName val="23 Juni 2026"/>
      <sheetName val="24 Juni 2026"/>
      <sheetName val="25 Juni 2026"/>
      <sheetName val="26 Juni 2026"/>
      <sheetName val="27 Juni 2026"/>
      <sheetName val="28 Juni 2026"/>
      <sheetName val="30 Juni 2026"/>
      <sheetName val="1  Juli 2026"/>
      <sheetName val="2 Juli 2026"/>
      <sheetName val="3 Juli 2026"/>
      <sheetName val="4 Juli 2026"/>
      <sheetName val="5 Juli 2026"/>
      <sheetName val="6 Juli 2026"/>
      <sheetName val="7 Juli 2026"/>
      <sheetName val="8 Juli 2026"/>
      <sheetName val="9 Juli 2026"/>
      <sheetName val="10 Juli 2026"/>
      <sheetName val="11 Juli 2026"/>
      <sheetName val="12 Juli 2026"/>
      <sheetName val="13 Juli 2026"/>
      <sheetName val="14 Juli 2026"/>
      <sheetName val="15 Juli 2026"/>
      <sheetName val="16 Juli 2026"/>
      <sheetName val="17 Juli 2026"/>
      <sheetName val="18 Juli 2026"/>
      <sheetName val="19 Juli 2026"/>
      <sheetName val="20 Juli 2026"/>
      <sheetName val="21 Juli 2026"/>
      <sheetName val="22 Juli 2026"/>
      <sheetName val="23 Juli 2026"/>
      <sheetName val="24 Juli 2026"/>
      <sheetName val="25 Juli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>
        <row r="5">
          <cell r="M5">
            <v>16000</v>
          </cell>
        </row>
        <row r="6">
          <cell r="M6">
            <v>14750</v>
          </cell>
          <cell r="N6">
            <v>15000</v>
          </cell>
        </row>
        <row r="7">
          <cell r="M7"/>
        </row>
        <row r="8">
          <cell r="M8">
            <v>30962.5</v>
          </cell>
          <cell r="N8">
            <v>15000</v>
          </cell>
        </row>
        <row r="10">
          <cell r="M10">
            <v>25500</v>
          </cell>
        </row>
        <row r="11">
          <cell r="M11">
            <v>16500</v>
          </cell>
        </row>
      </sheetData>
      <sheetData sheetId="73">
        <row r="5">
          <cell r="M5"/>
        </row>
        <row r="6">
          <cell r="M6">
            <v>38550</v>
          </cell>
          <cell r="N6">
            <v>15000</v>
          </cell>
        </row>
        <row r="7">
          <cell r="M7"/>
        </row>
        <row r="8">
          <cell r="M8">
            <v>29775</v>
          </cell>
          <cell r="N8"/>
        </row>
        <row r="9">
          <cell r="M9">
            <v>14575</v>
          </cell>
          <cell r="N9">
            <v>15000</v>
          </cell>
        </row>
        <row r="10">
          <cell r="M10">
            <v>25750</v>
          </cell>
          <cell r="N10">
            <v>15000</v>
          </cell>
        </row>
        <row r="11">
          <cell r="M11">
            <v>24250</v>
          </cell>
          <cell r="N11">
            <v>15000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4"/>
      <sheetName val="8 mei 2026"/>
      <sheetName val="9 mei 2026"/>
      <sheetName val="10 mei 2026"/>
      <sheetName val="12 mei 2026"/>
      <sheetName val="13 Mei 2026"/>
      <sheetName val="14 Mei 2026"/>
      <sheetName val="15 Mei 2026"/>
      <sheetName val="16 Mei 2016"/>
      <sheetName val="17 Mei 2026"/>
      <sheetName val="20 Mei 2026"/>
      <sheetName val="21 Mei 2026"/>
      <sheetName val="22 Mei 2026"/>
      <sheetName val="23 Mei 2026"/>
      <sheetName val="24 Mei 2026"/>
      <sheetName val="26 Mei 2026"/>
      <sheetName val="28 Mei 2026"/>
      <sheetName val="29 Mei 2026"/>
      <sheetName val="30 Mei 2026"/>
      <sheetName val="31 Mei 2026"/>
      <sheetName val="1 Juni 2026"/>
      <sheetName val="3 Juni 2026"/>
      <sheetName val="4 Juni 2026"/>
      <sheetName val="5 Juni 2026"/>
      <sheetName val="6 Juni 2026"/>
      <sheetName val="7 Juni 2026"/>
      <sheetName val="8 Juni 2026"/>
      <sheetName val="9 Juni 2026"/>
      <sheetName val="10 Juni 2026"/>
      <sheetName val="11 Juni 2026"/>
      <sheetName val="12 Juni 2026"/>
      <sheetName val="13 Juni 2026"/>
      <sheetName val="14 Juni 2026"/>
      <sheetName val="15 Juni 2026"/>
      <sheetName val="16 Juni 2026"/>
      <sheetName val="17 Juni 2026"/>
      <sheetName val="18 Juni 2026"/>
      <sheetName val="19 Juni 2026"/>
      <sheetName val="20 Juni 2026"/>
      <sheetName val="21 Juni 2026"/>
      <sheetName val="22 Juni 2026"/>
      <sheetName val="23 Juni 2026"/>
      <sheetName val="24 Juni 2026"/>
      <sheetName val="25 Juni 2026"/>
      <sheetName val="26 Juni 2026"/>
      <sheetName val="27 Juni 2026"/>
      <sheetName val="28 Juni 2026"/>
      <sheetName val="30 Juni 2026"/>
      <sheetName val="1  Juli 2026"/>
      <sheetName val="2 Juli 2026"/>
      <sheetName val="3 Juli 2026"/>
      <sheetName val="4 Juli 2026"/>
      <sheetName val="5 Juli 2026"/>
      <sheetName val="6 Juli 2026"/>
      <sheetName val="7 Juli 2026"/>
      <sheetName val="8 Juli 2026"/>
      <sheetName val="9 Juli 2026"/>
      <sheetName val="10 Juli 2026"/>
      <sheetName val="11 Juli 2026"/>
      <sheetName val="12 Juli 2026"/>
      <sheetName val="13 Juli 2026"/>
      <sheetName val="14 Juli 2026"/>
      <sheetName val="15 Juli 2026"/>
      <sheetName val="16 Juli 2026"/>
      <sheetName val="17 Juli 2026"/>
      <sheetName val="18 Juli 2026"/>
      <sheetName val="19 Juli 2026"/>
      <sheetName val="20 Juli 2026"/>
      <sheetName val="21 Juli 2026"/>
      <sheetName val="22 Juli 2026"/>
      <sheetName val="23 Juli 2026"/>
      <sheetName val="24 Juli 2026"/>
      <sheetName val="25 Juli 2026"/>
      <sheetName val="26 Juli 2026"/>
      <sheetName val="27 Juli 2026"/>
      <sheetName val="28 Juli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5">
          <cell r="M5">
            <v>24750</v>
          </cell>
          <cell r="N5">
            <v>15000</v>
          </cell>
        </row>
        <row r="6">
          <cell r="M6">
            <v>25000</v>
          </cell>
        </row>
        <row r="7">
          <cell r="M7">
            <v>29400</v>
          </cell>
        </row>
        <row r="8">
          <cell r="M8">
            <v>21250</v>
          </cell>
          <cell r="N8">
            <v>15000</v>
          </cell>
        </row>
        <row r="10">
          <cell r="M10">
            <v>27000</v>
          </cell>
        </row>
        <row r="11">
          <cell r="M11">
            <v>16250</v>
          </cell>
        </row>
      </sheetData>
      <sheetData sheetId="75">
        <row r="5">
          <cell r="M5">
            <v>10525</v>
          </cell>
        </row>
        <row r="6">
          <cell r="M6">
            <v>23400</v>
          </cell>
          <cell r="N6">
            <v>15000</v>
          </cell>
        </row>
        <row r="7">
          <cell r="N7">
            <v>15000</v>
          </cell>
        </row>
        <row r="8">
          <cell r="M8">
            <v>15500</v>
          </cell>
          <cell r="N8">
            <v>15000</v>
          </cell>
        </row>
        <row r="10">
          <cell r="M10"/>
        </row>
        <row r="11">
          <cell r="M11">
            <v>14000</v>
          </cell>
          <cell r="N11">
            <v>15000</v>
          </cell>
        </row>
        <row r="16">
          <cell r="H16">
            <v>1625500</v>
          </cell>
        </row>
      </sheetData>
      <sheetData sheetId="76">
        <row r="5">
          <cell r="M5">
            <v>25775</v>
          </cell>
          <cell r="N5">
            <v>15000</v>
          </cell>
        </row>
        <row r="6">
          <cell r="M6">
            <v>31250</v>
          </cell>
        </row>
        <row r="7">
          <cell r="M7">
            <v>19250</v>
          </cell>
        </row>
        <row r="8">
          <cell r="M8"/>
        </row>
        <row r="10">
          <cell r="M10">
            <v>22450</v>
          </cell>
          <cell r="N10">
            <v>15000</v>
          </cell>
        </row>
        <row r="11">
          <cell r="M11">
            <v>26775</v>
          </cell>
          <cell r="N11">
            <v>15000</v>
          </cell>
        </row>
        <row r="13">
          <cell r="O13">
            <v>170500</v>
          </cell>
        </row>
        <row r="19">
          <cell r="P19">
            <v>20000</v>
          </cell>
        </row>
        <row r="20">
          <cell r="H20">
            <v>2510000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4"/>
      <sheetName val="8 mei 2026"/>
      <sheetName val="9 mei 2026"/>
      <sheetName val="10 mei 2026"/>
      <sheetName val="12 mei 2026"/>
      <sheetName val="13 Mei 2026"/>
      <sheetName val="14 Mei 2026"/>
      <sheetName val="15 Mei 2026"/>
      <sheetName val="16 Mei 2016"/>
      <sheetName val="17 Mei 2026"/>
      <sheetName val="20 Mei 2026"/>
      <sheetName val="21 Mei 2026"/>
      <sheetName val="22 Mei 2026"/>
      <sheetName val="23 Mei 2026"/>
      <sheetName val="24 Mei 2026"/>
      <sheetName val="26 Mei 2026"/>
      <sheetName val="28 Mei 2026"/>
      <sheetName val="29 Mei 2026"/>
      <sheetName val="30 Mei 2026"/>
      <sheetName val="31 Mei 2026"/>
      <sheetName val="1 Juni 2026"/>
      <sheetName val="3 Juni 2026"/>
      <sheetName val="4 Juni 2026"/>
      <sheetName val="5 Juni 2026"/>
      <sheetName val="6 Juni 2026"/>
      <sheetName val="7 Juni 2026"/>
      <sheetName val="8 Juni 2026"/>
      <sheetName val="9 Juni 2026"/>
      <sheetName val="10 Juni 2026"/>
      <sheetName val="11 Juni 2026"/>
      <sheetName val="12 Juni 2026"/>
      <sheetName val="13 Juni 2026"/>
      <sheetName val="14 Juni 2026"/>
      <sheetName val="15 Juni 2026"/>
      <sheetName val="16 Juni 2026"/>
      <sheetName val="17 Juni 2026"/>
      <sheetName val="18 Juni 2026"/>
      <sheetName val="19 Juni 2026"/>
      <sheetName val="20 Juni 2026"/>
      <sheetName val="21 Juni 2026"/>
      <sheetName val="22 Juni 2026"/>
      <sheetName val="23 Juni 2026"/>
      <sheetName val="24 Juni 2026"/>
      <sheetName val="25 Juni 2026"/>
      <sheetName val="26 Juni 2026"/>
      <sheetName val="27 Juni 2026"/>
      <sheetName val="28 Juni 2026"/>
      <sheetName val="30 Juni 2026"/>
      <sheetName val="1  Juli 2026"/>
      <sheetName val="2 Juli 2026"/>
      <sheetName val="3 Juli 2026"/>
      <sheetName val="4 Juli 2026"/>
      <sheetName val="5 Juli 2026"/>
      <sheetName val="6 Juli 2026"/>
      <sheetName val="7 Juli 2026"/>
      <sheetName val="8 Juli 2026"/>
      <sheetName val="9 Juli 2026"/>
      <sheetName val="10 Juli 2026"/>
      <sheetName val="11 Juli 2026"/>
      <sheetName val="12 Juli 2026"/>
      <sheetName val="13 Juli 2026"/>
      <sheetName val="14 Juli 2026"/>
      <sheetName val="15 Juli 2026"/>
      <sheetName val="16 Juli 2026"/>
      <sheetName val="17 Juli 2026"/>
      <sheetName val="18 Juli 2026"/>
      <sheetName val="19 Juli 2026"/>
      <sheetName val="20 Juli 2026"/>
      <sheetName val="21 Juli 2026"/>
      <sheetName val="22 Juli 2026"/>
      <sheetName val="23 Juli 2026"/>
      <sheetName val="24 Juli 2026"/>
      <sheetName val="25 Juli 2026"/>
      <sheetName val="26 Juli 2026"/>
      <sheetName val="27 Juli 2026"/>
      <sheetName val="28 Juli 2026"/>
      <sheetName val="29 Juli 2026"/>
      <sheetName val="30 Juli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5">
          <cell r="M5">
            <v>36435</v>
          </cell>
        </row>
        <row r="6">
          <cell r="M6">
            <v>25000</v>
          </cell>
          <cell r="N6">
            <v>15000</v>
          </cell>
        </row>
        <row r="7">
          <cell r="M7">
            <v>21500</v>
          </cell>
          <cell r="N7">
            <v>15000</v>
          </cell>
        </row>
        <row r="8">
          <cell r="M8">
            <v>23750</v>
          </cell>
          <cell r="N8">
            <v>15000</v>
          </cell>
        </row>
        <row r="9">
          <cell r="M9">
            <v>4750</v>
          </cell>
        </row>
        <row r="10">
          <cell r="M10">
            <v>21000</v>
          </cell>
        </row>
        <row r="11">
          <cell r="M11"/>
        </row>
      </sheetData>
      <sheetData sheetId="78">
        <row r="5">
          <cell r="M5">
            <v>40250</v>
          </cell>
          <cell r="N5">
            <v>15000</v>
          </cell>
        </row>
        <row r="6">
          <cell r="M6"/>
        </row>
        <row r="7">
          <cell r="M7">
            <v>36750</v>
          </cell>
        </row>
        <row r="8">
          <cell r="M8">
            <v>16875</v>
          </cell>
        </row>
        <row r="9">
          <cell r="M9">
            <v>7250</v>
          </cell>
        </row>
        <row r="10">
          <cell r="M10">
            <v>23250</v>
          </cell>
          <cell r="N10">
            <v>15000</v>
          </cell>
        </row>
        <row r="11">
          <cell r="M11">
            <v>29750</v>
          </cell>
          <cell r="N11">
            <v>15000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4"/>
      <sheetName val="8 mei 2026"/>
      <sheetName val="9 mei 2026"/>
      <sheetName val="10 mei 2026"/>
      <sheetName val="12 mei 2026"/>
      <sheetName val="13 Mei 2026"/>
      <sheetName val="14 Mei 2026"/>
      <sheetName val="15 Mei 2026"/>
      <sheetName val="16 Mei 2016"/>
      <sheetName val="17 Mei 2026"/>
      <sheetName val="20 Mei 2026"/>
      <sheetName val="21 Mei 2026"/>
      <sheetName val="22 Mei 2026"/>
      <sheetName val="23 Mei 2026"/>
      <sheetName val="24 Mei 2026"/>
      <sheetName val="26 Mei 2026"/>
      <sheetName val="28 Mei 2026"/>
      <sheetName val="29 Mei 2026"/>
      <sheetName val="30 Mei 2026"/>
      <sheetName val="31 Mei 2026"/>
      <sheetName val="1 Juni 2026"/>
      <sheetName val="3 Juni 2026"/>
      <sheetName val="4 Juni 2026"/>
      <sheetName val="5 Juni 2026"/>
      <sheetName val="6 Juni 2026"/>
      <sheetName val="7 Juni 2026"/>
      <sheetName val="8 Juni 2026"/>
      <sheetName val="9 Juni 2026"/>
      <sheetName val="10 Juni 2026"/>
      <sheetName val="11 Juni 2026"/>
      <sheetName val="12 Juni 2026"/>
      <sheetName val="13 Juni 2026"/>
      <sheetName val="14 Juni 2026"/>
      <sheetName val="15 Juni 2026"/>
      <sheetName val="16 Juni 2026"/>
      <sheetName val="17 Juni 2026"/>
      <sheetName val="18 Juni 2026"/>
      <sheetName val="19 Juni 2026"/>
      <sheetName val="20 Juni 2026"/>
      <sheetName val="21 Juni 2026"/>
      <sheetName val="22 Juni 2026"/>
      <sheetName val="23 Juni 2026"/>
      <sheetName val="24 Juni 2026"/>
      <sheetName val="25 Juni 2026"/>
      <sheetName val="26 Juni 2026"/>
      <sheetName val="27 Juni 2026"/>
      <sheetName val="28 Juni 2026"/>
      <sheetName val="30 Juni 2026"/>
      <sheetName val="1  Juli 2026"/>
      <sheetName val="2 Juli 2026"/>
      <sheetName val="3 Juli 2026"/>
      <sheetName val="4 Juli 2026"/>
      <sheetName val="5 Juli 2026"/>
      <sheetName val="6 Juli 2026"/>
      <sheetName val="7 Juli 2026"/>
      <sheetName val="8 Juli 2026"/>
      <sheetName val="9 Juli 2026"/>
      <sheetName val="10 Juli 2026"/>
      <sheetName val="11 Juli 2026"/>
      <sheetName val="12 Juli 2026"/>
      <sheetName val="13 Juli 2026"/>
      <sheetName val="14 Juli 2026"/>
      <sheetName val="15 Juli 2026"/>
      <sheetName val="16 Juli 2026"/>
      <sheetName val="17 Juli 2026"/>
      <sheetName val="18 Juli 2026"/>
      <sheetName val="19 Juli 2026"/>
      <sheetName val="20 Juli 2026"/>
      <sheetName val="21 Juli 2026"/>
      <sheetName val="22 Juli 2026"/>
      <sheetName val="23 Juli 2026"/>
      <sheetName val="24 Juli 2026"/>
      <sheetName val="25 Juli 2026"/>
      <sheetName val="26 Juli 2026"/>
      <sheetName val="27 Juli 2026"/>
      <sheetName val="28 Juli 2026"/>
      <sheetName val="29 Juli 2026"/>
      <sheetName val="30 Juli 2026"/>
      <sheetName val="31 Juli 2026"/>
      <sheetName val="1 Agustus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7">
          <cell r="M7">
            <v>9000</v>
          </cell>
        </row>
      </sheetData>
      <sheetData sheetId="76"/>
      <sheetData sheetId="77">
        <row r="13">
          <cell r="O13">
            <v>177435</v>
          </cell>
        </row>
        <row r="21">
          <cell r="P21">
            <v>20000</v>
          </cell>
        </row>
        <row r="27">
          <cell r="H27">
            <v>2455700</v>
          </cell>
        </row>
      </sheetData>
      <sheetData sheetId="78">
        <row r="13">
          <cell r="O13">
            <v>214125</v>
          </cell>
        </row>
        <row r="25">
          <cell r="H25">
            <v>3082500</v>
          </cell>
        </row>
      </sheetData>
      <sheetData sheetId="79">
        <row r="5">
          <cell r="M5">
            <v>22750</v>
          </cell>
          <cell r="N5">
            <v>15000</v>
          </cell>
        </row>
        <row r="6">
          <cell r="M6">
            <v>36725</v>
          </cell>
          <cell r="N6">
            <v>15000</v>
          </cell>
        </row>
        <row r="8">
          <cell r="M8">
            <v>44075</v>
          </cell>
          <cell r="N8">
            <v>15000</v>
          </cell>
        </row>
        <row r="9">
          <cell r="M9">
            <v>25250</v>
          </cell>
          <cell r="N9">
            <v>15000</v>
          </cell>
        </row>
        <row r="10">
          <cell r="M10">
            <v>18750</v>
          </cell>
          <cell r="N10">
            <v>15000</v>
          </cell>
        </row>
        <row r="12">
          <cell r="M12">
            <v>47442.5</v>
          </cell>
          <cell r="N12">
            <v>15000</v>
          </cell>
        </row>
        <row r="14">
          <cell r="O14">
            <v>284992.5</v>
          </cell>
        </row>
        <row r="23">
          <cell r="P23">
            <v>37000</v>
          </cell>
        </row>
        <row r="28">
          <cell r="H28">
            <v>3853750</v>
          </cell>
        </row>
      </sheetData>
      <sheetData sheetId="8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4"/>
      <sheetName val="8 mei 2026"/>
      <sheetName val="9 mei 2026"/>
      <sheetName val="10 mei 2026"/>
      <sheetName val="12 mei 2026"/>
      <sheetName val="13 Mei 2026"/>
      <sheetName val="14 Mei 2026"/>
      <sheetName val="15 Mei 2026"/>
      <sheetName val="16 Mei 2016"/>
      <sheetName val="17 Mei 2026"/>
      <sheetName val="20 Mei 2026"/>
      <sheetName val="21 Mei 2026"/>
      <sheetName val="22 Mei 2026"/>
      <sheetName val="23 Mei 2026"/>
      <sheetName val="24 Mei 2026"/>
      <sheetName val="26 Mei 2026"/>
      <sheetName val="28 Mei 2026"/>
      <sheetName val="29 Mei 2026"/>
      <sheetName val="30 Mei 2026"/>
      <sheetName val="31 Mei 2026"/>
      <sheetName val="1 Juni 2026"/>
      <sheetName val="3 Juni 2026"/>
      <sheetName val="4 Juni 2026"/>
      <sheetName val="5 Juni 2026"/>
      <sheetName val="6 Juni 2026"/>
      <sheetName val="7 Juni 2026"/>
      <sheetName val="8 Juni 2026"/>
      <sheetName val="9 Juni 2026"/>
      <sheetName val="10 Juni 2026"/>
      <sheetName val="11 Juni 2026"/>
      <sheetName val="12 Juni 2026"/>
      <sheetName val="13 Juni 2026"/>
      <sheetName val="14 Juni 2026"/>
      <sheetName val="15 Juni 2026"/>
      <sheetName val="16 Juni 2026"/>
      <sheetName val="17 Juni 2026"/>
      <sheetName val="18 Juni 2026"/>
      <sheetName val="19 Juni 2026"/>
      <sheetName val="20 Juni 2026"/>
      <sheetName val="21 Juni 2026"/>
      <sheetName val="22 Juni 2026"/>
      <sheetName val="23 Juni 2026"/>
      <sheetName val="24 Juni 2026"/>
      <sheetName val="25 Juni 2026"/>
      <sheetName val="26 Juni 2026"/>
      <sheetName val="27 Juni 2026"/>
      <sheetName val="28 Juni 2026"/>
      <sheetName val="30 Juni 2026"/>
      <sheetName val="1  Juli 2026"/>
      <sheetName val="2 Juli 2026"/>
      <sheetName val="3 Juli 2026"/>
      <sheetName val="4 Juli 2026"/>
      <sheetName val="5 Juli 2026"/>
      <sheetName val="6 Juli 2026"/>
      <sheetName val="7 Juli 2026"/>
      <sheetName val="8 Juli 2026"/>
      <sheetName val="9 Juli 2026"/>
      <sheetName val="10 Juli 2026"/>
      <sheetName val="11 Juli 2026"/>
      <sheetName val="12 Juli 2026"/>
      <sheetName val="13 Juli 2026"/>
      <sheetName val="14 Juli 2026"/>
      <sheetName val="15 Juli 2026"/>
      <sheetName val="16 Juli 2026"/>
      <sheetName val="17 Juli 2026"/>
      <sheetName val="18 Juli 2026"/>
      <sheetName val="19 Juli 2026"/>
      <sheetName val="20 Juli 2026"/>
      <sheetName val="21 Juli 2026"/>
      <sheetName val="22 Juli 2026"/>
      <sheetName val="23 Juli 2026"/>
      <sheetName val="24 Juli 2026"/>
      <sheetName val="25 Juli 2026"/>
      <sheetName val="26 Juli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13">
          <cell r="O13">
            <v>130612.5</v>
          </cell>
        </row>
        <row r="20">
          <cell r="P20">
            <v>20000</v>
          </cell>
        </row>
        <row r="23">
          <cell r="H23">
            <v>1642250</v>
          </cell>
        </row>
      </sheetData>
      <sheetData sheetId="50">
        <row r="13">
          <cell r="O13">
            <v>155000</v>
          </cell>
        </row>
        <row r="20">
          <cell r="P20">
            <v>20000</v>
          </cell>
        </row>
        <row r="23">
          <cell r="H23">
            <v>2430000</v>
          </cell>
        </row>
      </sheetData>
      <sheetData sheetId="51">
        <row r="25">
          <cell r="H25">
            <v>3310000</v>
          </cell>
        </row>
      </sheetData>
      <sheetData sheetId="52">
        <row r="13">
          <cell r="O13">
            <v>286100</v>
          </cell>
        </row>
        <row r="21">
          <cell r="P21">
            <v>88000</v>
          </cell>
        </row>
        <row r="27">
          <cell r="H27">
            <v>3820000</v>
          </cell>
        </row>
      </sheetData>
      <sheetData sheetId="53">
        <row r="13">
          <cell r="O13">
            <v>323550</v>
          </cell>
        </row>
        <row r="21">
          <cell r="P21">
            <v>64000</v>
          </cell>
        </row>
        <row r="29">
          <cell r="H29">
            <v>4085000</v>
          </cell>
        </row>
      </sheetData>
      <sheetData sheetId="54">
        <row r="13">
          <cell r="O13">
            <v>94912.5</v>
          </cell>
        </row>
        <row r="17">
          <cell r="H17">
            <v>1658650</v>
          </cell>
        </row>
        <row r="19">
          <cell r="P19">
            <v>20000</v>
          </cell>
        </row>
      </sheetData>
      <sheetData sheetId="55">
        <row r="13">
          <cell r="O13">
            <v>119525</v>
          </cell>
        </row>
        <row r="17">
          <cell r="H17">
            <v>1692500</v>
          </cell>
        </row>
        <row r="19">
          <cell r="P19">
            <v>37000</v>
          </cell>
        </row>
      </sheetData>
      <sheetData sheetId="56">
        <row r="13">
          <cell r="O13">
            <v>264426.25</v>
          </cell>
        </row>
        <row r="21">
          <cell r="P21">
            <v>81000</v>
          </cell>
        </row>
        <row r="25">
          <cell r="H25">
            <v>3850525</v>
          </cell>
        </row>
      </sheetData>
      <sheetData sheetId="57">
        <row r="13">
          <cell r="O13">
            <v>142937.5</v>
          </cell>
        </row>
        <row r="18">
          <cell r="H18">
            <v>1958750</v>
          </cell>
        </row>
        <row r="19">
          <cell r="P19">
            <v>20000</v>
          </cell>
        </row>
      </sheetData>
      <sheetData sheetId="58">
        <row r="13">
          <cell r="O13">
            <v>121000</v>
          </cell>
        </row>
        <row r="19">
          <cell r="P19">
            <v>36000</v>
          </cell>
        </row>
        <row r="23">
          <cell r="H23">
            <v>2050000</v>
          </cell>
        </row>
      </sheetData>
      <sheetData sheetId="59">
        <row r="12">
          <cell r="O12">
            <v>236150</v>
          </cell>
        </row>
        <row r="18">
          <cell r="P18">
            <v>20000</v>
          </cell>
        </row>
        <row r="27">
          <cell r="H27">
            <v>3157375</v>
          </cell>
        </row>
      </sheetData>
      <sheetData sheetId="60">
        <row r="13">
          <cell r="O13">
            <v>303687.5</v>
          </cell>
        </row>
        <row r="31">
          <cell r="H31">
            <v>4011250</v>
          </cell>
        </row>
      </sheetData>
      <sheetData sheetId="61">
        <row r="13">
          <cell r="O13">
            <v>92685</v>
          </cell>
        </row>
        <row r="18">
          <cell r="H18">
            <v>1695500</v>
          </cell>
        </row>
        <row r="20">
          <cell r="P20">
            <v>35000</v>
          </cell>
        </row>
      </sheetData>
      <sheetData sheetId="62">
        <row r="13">
          <cell r="O13">
            <v>100475</v>
          </cell>
        </row>
        <row r="18">
          <cell r="H18">
            <v>1409500</v>
          </cell>
        </row>
      </sheetData>
      <sheetData sheetId="63">
        <row r="13">
          <cell r="O13">
            <v>180497.5</v>
          </cell>
        </row>
        <row r="24">
          <cell r="H24">
            <v>2621750</v>
          </cell>
        </row>
      </sheetData>
      <sheetData sheetId="64">
        <row r="9">
          <cell r="H9">
            <v>550000</v>
          </cell>
        </row>
        <row r="13">
          <cell r="O13">
            <v>27500</v>
          </cell>
        </row>
      </sheetData>
      <sheetData sheetId="65">
        <row r="13">
          <cell r="O13">
            <v>85750</v>
          </cell>
        </row>
        <row r="15">
          <cell r="H15">
            <v>1260000</v>
          </cell>
        </row>
        <row r="19">
          <cell r="P19">
            <v>20000</v>
          </cell>
        </row>
      </sheetData>
      <sheetData sheetId="66">
        <row r="13">
          <cell r="O13">
            <v>229050</v>
          </cell>
        </row>
        <row r="19">
          <cell r="P19">
            <v>39000</v>
          </cell>
        </row>
        <row r="29">
          <cell r="H29">
            <v>3825000</v>
          </cell>
        </row>
      </sheetData>
      <sheetData sheetId="67">
        <row r="13">
          <cell r="O13">
            <v>240750</v>
          </cell>
        </row>
        <row r="19">
          <cell r="P19">
            <v>20000</v>
          </cell>
        </row>
        <row r="25">
          <cell r="H25">
            <v>3517000</v>
          </cell>
        </row>
      </sheetData>
      <sheetData sheetId="68">
        <row r="19">
          <cell r="P19">
            <v>20000</v>
          </cell>
        </row>
        <row r="25">
          <cell r="H25">
            <v>2762950</v>
          </cell>
        </row>
      </sheetData>
      <sheetData sheetId="69">
        <row r="13">
          <cell r="O13">
            <v>150500</v>
          </cell>
        </row>
        <row r="18">
          <cell r="H18">
            <v>2255000</v>
          </cell>
        </row>
      </sheetData>
      <sheetData sheetId="70">
        <row r="13">
          <cell r="O13">
            <v>208412.5</v>
          </cell>
        </row>
        <row r="19">
          <cell r="P19">
            <v>40000</v>
          </cell>
        </row>
        <row r="26">
          <cell r="H26">
            <v>2968250</v>
          </cell>
        </row>
      </sheetData>
      <sheetData sheetId="71">
        <row r="13">
          <cell r="O13">
            <v>160662.5</v>
          </cell>
        </row>
        <row r="19">
          <cell r="P19">
            <v>66000</v>
          </cell>
        </row>
        <row r="21">
          <cell r="H21">
            <v>2365250</v>
          </cell>
        </row>
      </sheetData>
      <sheetData sheetId="72">
        <row r="13">
          <cell r="O13">
            <v>133712.5</v>
          </cell>
        </row>
        <row r="17">
          <cell r="H17">
            <v>1934250</v>
          </cell>
        </row>
        <row r="19">
          <cell r="P19">
            <v>20000</v>
          </cell>
        </row>
      </sheetData>
      <sheetData sheetId="73">
        <row r="12">
          <cell r="O12">
            <v>192900</v>
          </cell>
        </row>
        <row r="21">
          <cell r="P21">
            <v>73000</v>
          </cell>
        </row>
        <row r="24">
          <cell r="H24">
            <v>2560000</v>
          </cell>
        </row>
      </sheetData>
      <sheetData sheetId="74">
        <row r="13">
          <cell r="O13">
            <v>173650</v>
          </cell>
        </row>
        <row r="16">
          <cell r="H16">
            <v>2705000</v>
          </cell>
        </row>
        <row r="19">
          <cell r="P19">
            <v>20000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NGELUARAN MEI"/>
      <sheetName val="PENGELUARAN JUNI"/>
      <sheetName val="PENGELUARAN JULI"/>
    </sheetNames>
    <sheetDataSet>
      <sheetData sheetId="0"/>
      <sheetData sheetId="1"/>
      <sheetData sheetId="2">
        <row r="86">
          <cell r="H86">
            <v>23620476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E6B6-71FD-4C5C-90AE-4DDB833E080E}">
  <dimension ref="A3:BP58"/>
  <sheetViews>
    <sheetView workbookViewId="0">
      <selection activeCell="B8" sqref="B8:B13"/>
    </sheetView>
  </sheetViews>
  <sheetFormatPr defaultRowHeight="14.4" x14ac:dyDescent="0.3"/>
  <cols>
    <col min="1" max="1" width="4.77734375" customWidth="1"/>
    <col min="2" max="2" width="18.109375" customWidth="1"/>
    <col min="3" max="3" width="11.33203125" customWidth="1"/>
    <col min="4" max="4" width="10.44140625" customWidth="1"/>
    <col min="5" max="5" width="10.5546875" customWidth="1"/>
    <col min="6" max="6" width="11.33203125" customWidth="1"/>
    <col min="65" max="65" width="11" customWidth="1"/>
    <col min="66" max="66" width="10.88671875" customWidth="1"/>
    <col min="67" max="67" width="14.21875" customWidth="1"/>
  </cols>
  <sheetData>
    <row r="3" spans="1:68" x14ac:dyDescent="0.3">
      <c r="A3" s="132" t="s">
        <v>7</v>
      </c>
      <c r="B3" s="132"/>
      <c r="BM3" s="27"/>
      <c r="BN3" s="27"/>
    </row>
    <row r="4" spans="1:68" x14ac:dyDescent="0.3">
      <c r="A4" s="120" t="s">
        <v>0</v>
      </c>
      <c r="B4" s="131" t="s">
        <v>1</v>
      </c>
      <c r="C4" s="128" t="s">
        <v>2</v>
      </c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8"/>
      <c r="BL4" s="9"/>
      <c r="BM4" s="123" t="s">
        <v>3</v>
      </c>
      <c r="BN4" s="124"/>
      <c r="BO4" s="87"/>
    </row>
    <row r="5" spans="1:68" x14ac:dyDescent="0.3">
      <c r="A5" s="120"/>
      <c r="B5" s="131"/>
      <c r="C5" s="6" t="s">
        <v>5</v>
      </c>
      <c r="D5" s="11" t="s">
        <v>6</v>
      </c>
      <c r="E5" s="18" t="s">
        <v>5</v>
      </c>
      <c r="F5" s="19" t="s">
        <v>6</v>
      </c>
      <c r="G5" s="7" t="s">
        <v>5</v>
      </c>
      <c r="H5" s="19" t="s">
        <v>6</v>
      </c>
      <c r="I5" s="7" t="s">
        <v>5</v>
      </c>
      <c r="J5" s="19" t="s">
        <v>6</v>
      </c>
      <c r="K5" s="7" t="s">
        <v>5</v>
      </c>
      <c r="L5" s="19" t="s">
        <v>6</v>
      </c>
      <c r="M5" s="7" t="s">
        <v>5</v>
      </c>
      <c r="N5" s="19" t="s">
        <v>6</v>
      </c>
      <c r="O5" s="7" t="s">
        <v>5</v>
      </c>
      <c r="P5" s="9" t="s">
        <v>6</v>
      </c>
      <c r="Q5" s="9" t="s">
        <v>5</v>
      </c>
      <c r="R5" s="9" t="s">
        <v>6</v>
      </c>
      <c r="S5" s="9" t="s">
        <v>5</v>
      </c>
      <c r="T5" s="9" t="s">
        <v>6</v>
      </c>
      <c r="U5" s="9" t="s">
        <v>5</v>
      </c>
      <c r="V5" s="9" t="s">
        <v>6</v>
      </c>
      <c r="W5" s="9" t="s">
        <v>5</v>
      </c>
      <c r="X5" s="9" t="s">
        <v>6</v>
      </c>
      <c r="Y5" s="9" t="s">
        <v>5</v>
      </c>
      <c r="Z5" s="9" t="s">
        <v>6</v>
      </c>
      <c r="AA5" s="9" t="s">
        <v>5</v>
      </c>
      <c r="AB5" s="9" t="s">
        <v>6</v>
      </c>
      <c r="AC5" s="9" t="s">
        <v>5</v>
      </c>
      <c r="AD5" s="9" t="s">
        <v>6</v>
      </c>
      <c r="AE5" s="9" t="s">
        <v>5</v>
      </c>
      <c r="AF5" s="9" t="s">
        <v>6</v>
      </c>
      <c r="AG5" s="9" t="s">
        <v>5</v>
      </c>
      <c r="AH5" s="9" t="s">
        <v>6</v>
      </c>
      <c r="AI5" s="9" t="s">
        <v>5</v>
      </c>
      <c r="AJ5" s="9" t="s">
        <v>6</v>
      </c>
      <c r="AK5" s="9" t="s">
        <v>5</v>
      </c>
      <c r="AL5" s="9" t="s">
        <v>6</v>
      </c>
      <c r="AM5" s="9" t="s">
        <v>5</v>
      </c>
      <c r="AN5" s="9" t="s">
        <v>6</v>
      </c>
      <c r="AO5" s="9" t="s">
        <v>5</v>
      </c>
      <c r="AP5" s="9" t="s">
        <v>6</v>
      </c>
      <c r="AQ5" s="9" t="s">
        <v>5</v>
      </c>
      <c r="AR5" s="9" t="s">
        <v>6</v>
      </c>
      <c r="AS5" s="9" t="s">
        <v>5</v>
      </c>
      <c r="AT5" s="9" t="s">
        <v>6</v>
      </c>
      <c r="AU5" s="9" t="s">
        <v>5</v>
      </c>
      <c r="AV5" s="9" t="s">
        <v>6</v>
      </c>
      <c r="AW5" s="9" t="s">
        <v>5</v>
      </c>
      <c r="AX5" s="9" t="s">
        <v>6</v>
      </c>
      <c r="AY5" s="9" t="s">
        <v>5</v>
      </c>
      <c r="AZ5" s="9" t="s">
        <v>6</v>
      </c>
      <c r="BA5" s="9" t="s">
        <v>5</v>
      </c>
      <c r="BB5" s="9" t="s">
        <v>6</v>
      </c>
      <c r="BC5" s="9" t="s">
        <v>5</v>
      </c>
      <c r="BD5" s="9" t="s">
        <v>6</v>
      </c>
      <c r="BE5" s="9" t="s">
        <v>5</v>
      </c>
      <c r="BF5" s="9" t="s">
        <v>6</v>
      </c>
      <c r="BG5" s="9" t="s">
        <v>5</v>
      </c>
      <c r="BH5" s="9" t="s">
        <v>6</v>
      </c>
      <c r="BI5" s="9" t="s">
        <v>5</v>
      </c>
      <c r="BJ5" s="9" t="s">
        <v>6</v>
      </c>
      <c r="BK5" s="9" t="s">
        <v>5</v>
      </c>
      <c r="BL5" s="9" t="s">
        <v>6</v>
      </c>
      <c r="BM5" s="125" t="s">
        <v>5</v>
      </c>
      <c r="BN5" s="127" t="s">
        <v>6</v>
      </c>
      <c r="BO5" s="118" t="s">
        <v>28</v>
      </c>
    </row>
    <row r="6" spans="1:68" x14ac:dyDescent="0.3">
      <c r="A6" s="120"/>
      <c r="B6" s="131"/>
      <c r="C6" s="133">
        <v>1</v>
      </c>
      <c r="D6" s="134"/>
      <c r="E6" s="135">
        <f>+C6+1</f>
        <v>2</v>
      </c>
      <c r="F6" s="130"/>
      <c r="G6" s="129">
        <f>+E6+1</f>
        <v>3</v>
      </c>
      <c r="H6" s="130"/>
      <c r="I6" s="129">
        <f>+G6+1</f>
        <v>4</v>
      </c>
      <c r="J6" s="130"/>
      <c r="K6" s="129">
        <f>+I6+1</f>
        <v>5</v>
      </c>
      <c r="L6" s="130"/>
      <c r="M6" s="129">
        <f>+K6+1</f>
        <v>6</v>
      </c>
      <c r="N6" s="130"/>
      <c r="O6" s="129">
        <f>+M6+1</f>
        <v>7</v>
      </c>
      <c r="P6" s="120"/>
      <c r="Q6" s="120">
        <f>+O6+1</f>
        <v>8</v>
      </c>
      <c r="R6" s="120"/>
      <c r="S6" s="120">
        <f>+Q6+1</f>
        <v>9</v>
      </c>
      <c r="T6" s="120"/>
      <c r="U6" s="120">
        <f>+S6+1</f>
        <v>10</v>
      </c>
      <c r="V6" s="120"/>
      <c r="W6" s="120">
        <f>+U6+1</f>
        <v>11</v>
      </c>
      <c r="X6" s="120"/>
      <c r="Y6" s="120">
        <f>+W6+1</f>
        <v>12</v>
      </c>
      <c r="Z6" s="120"/>
      <c r="AA6" s="120">
        <f>+Y6+1</f>
        <v>13</v>
      </c>
      <c r="AB6" s="120"/>
      <c r="AC6" s="120">
        <f>+AA6+1</f>
        <v>14</v>
      </c>
      <c r="AD6" s="120"/>
      <c r="AE6" s="120">
        <f>+AC6+1</f>
        <v>15</v>
      </c>
      <c r="AF6" s="120"/>
      <c r="AG6" s="120">
        <f>+AE6+1</f>
        <v>16</v>
      </c>
      <c r="AH6" s="120"/>
      <c r="AI6" s="120">
        <f>+AG6+1</f>
        <v>17</v>
      </c>
      <c r="AJ6" s="120"/>
      <c r="AK6" s="120">
        <f>+AI6+1</f>
        <v>18</v>
      </c>
      <c r="AL6" s="120"/>
      <c r="AM6" s="120">
        <f>+AK6+1</f>
        <v>19</v>
      </c>
      <c r="AN6" s="120"/>
      <c r="AO6" s="120">
        <f>+AM6+1</f>
        <v>20</v>
      </c>
      <c r="AP6" s="120"/>
      <c r="AQ6" s="120">
        <f>+AO6+1</f>
        <v>21</v>
      </c>
      <c r="AR6" s="120"/>
      <c r="AS6" s="120">
        <f>+AQ6+1</f>
        <v>22</v>
      </c>
      <c r="AT6" s="120"/>
      <c r="AU6" s="120">
        <f>+AS6+1</f>
        <v>23</v>
      </c>
      <c r="AV6" s="120"/>
      <c r="AW6" s="120">
        <f>+AU6+1</f>
        <v>24</v>
      </c>
      <c r="AX6" s="120"/>
      <c r="AY6" s="120">
        <f>+AW6+1</f>
        <v>25</v>
      </c>
      <c r="AZ6" s="120"/>
      <c r="BA6" s="120">
        <f>+AY6+1</f>
        <v>26</v>
      </c>
      <c r="BB6" s="120"/>
      <c r="BC6" s="120">
        <f>+BA6+1</f>
        <v>27</v>
      </c>
      <c r="BD6" s="120"/>
      <c r="BE6" s="120">
        <f>+BC6+1</f>
        <v>28</v>
      </c>
      <c r="BF6" s="120"/>
      <c r="BG6" s="120">
        <f>+BE6+1</f>
        <v>29</v>
      </c>
      <c r="BH6" s="120"/>
      <c r="BI6" s="120">
        <f>+BG6+1</f>
        <v>30</v>
      </c>
      <c r="BJ6" s="120"/>
      <c r="BK6" s="120">
        <f>+BI6+1</f>
        <v>31</v>
      </c>
      <c r="BL6" s="120"/>
      <c r="BM6" s="126"/>
      <c r="BN6" s="123"/>
      <c r="BO6" s="119"/>
    </row>
    <row r="7" spans="1:68" x14ac:dyDescent="0.3">
      <c r="A7" s="5">
        <v>1</v>
      </c>
      <c r="B7" s="5" t="s">
        <v>4</v>
      </c>
      <c r="C7" s="12">
        <f>+'[1]1  Juli 2026'!$M$5</f>
        <v>0</v>
      </c>
      <c r="D7" s="13"/>
      <c r="E7" s="20">
        <f>+'[1]2 Juli 2026'!$M$5</f>
        <v>34000</v>
      </c>
      <c r="F7" s="21"/>
      <c r="G7" s="16">
        <f>+'[1]3 Juli 2026'!$M$5</f>
        <v>0</v>
      </c>
      <c r="H7" s="24"/>
      <c r="I7" s="16">
        <f>+'[1]4 Juli 2026'!$M$5</f>
        <v>27950</v>
      </c>
      <c r="J7" s="25">
        <f>+'[1]4 Juli 2026'!$N$5</f>
        <v>15000</v>
      </c>
      <c r="K7" s="16">
        <f>+'[1]5 Juli 2026'!$M$5</f>
        <v>26250</v>
      </c>
      <c r="L7" s="24"/>
      <c r="M7" s="16">
        <f>+'[1]6 Juli 2026'!$M$5</f>
        <v>23500</v>
      </c>
      <c r="N7" s="24"/>
      <c r="O7" s="16">
        <f>+'[1]7 Juli 2026'!$M$5</f>
        <v>0</v>
      </c>
      <c r="P7" s="2"/>
      <c r="Q7" s="3">
        <f>+'[1]8 Juli 2026'!$M$5</f>
        <v>23876.25</v>
      </c>
      <c r="R7" s="2"/>
      <c r="S7" s="3">
        <f>+'[1]9 Juli 2026'!$M$5</f>
        <v>20500</v>
      </c>
      <c r="T7" s="3">
        <f>+'[1]9 Juli 2026'!$N$5</f>
        <v>15000</v>
      </c>
      <c r="U7" s="3">
        <f>+'[1]10 Juli 2026'!$M$5</f>
        <v>6250</v>
      </c>
      <c r="V7" s="2"/>
      <c r="W7" s="3">
        <f>+'[1]11 Juli 2026'!$M$5</f>
        <v>22000</v>
      </c>
      <c r="X7" s="3">
        <f>+'[1]11 Juli 2026'!$N$5</f>
        <v>15000</v>
      </c>
      <c r="Y7" s="3">
        <f>+'[1]12 Juli 2026'!$M$5</f>
        <v>39400</v>
      </c>
      <c r="Z7" s="3">
        <f>+'[1]12 Juli 2026'!$N$5</f>
        <v>15000</v>
      </c>
      <c r="AA7" s="3">
        <f>+'[1]13 Juli 2026'!$M$5</f>
        <v>0</v>
      </c>
      <c r="AB7" s="2"/>
      <c r="AC7" s="3">
        <f>+'[1]14 Juli 2026'!$M$5</f>
        <v>0</v>
      </c>
      <c r="AD7" s="2"/>
      <c r="AE7" s="3">
        <f>+'[1]15 Juli 2026'!$M$5</f>
        <v>32450</v>
      </c>
      <c r="AF7" s="3">
        <f>+'[1]15 Juli 2026'!$N$5</f>
        <v>15000</v>
      </c>
      <c r="AG7" s="3">
        <f>+'[1]16 Juli 2026'!$M$5</f>
        <v>0</v>
      </c>
      <c r="AH7" s="2"/>
      <c r="AI7" s="3">
        <f>+'[1]17 Juli 2026'!$M$5</f>
        <v>5500</v>
      </c>
      <c r="AJ7" s="2"/>
      <c r="AK7" s="3">
        <f>+'[1]18 Juli 2026'!$M$5</f>
        <v>23000</v>
      </c>
      <c r="AL7" s="3">
        <f>+'[1]18 Juli 2026'!$N$5</f>
        <v>15000</v>
      </c>
      <c r="AM7" s="3">
        <f>+'[2]19 Juli 2026'!$M$5</f>
        <v>28750</v>
      </c>
      <c r="AN7" s="2"/>
      <c r="AO7" s="3">
        <f>+'[2]20 Juli 2026'!$M$5</f>
        <v>28750</v>
      </c>
      <c r="AP7" s="2"/>
      <c r="AQ7" s="3">
        <f>+'[2]21 Juli 2026'!$M$5</f>
        <v>33250</v>
      </c>
      <c r="AR7" s="3">
        <f>+'[2]21 Juli 2026'!$N$5</f>
        <v>15000</v>
      </c>
      <c r="AS7" s="3">
        <f>+'[2]22 Juli 2026'!$M$5</f>
        <v>38275</v>
      </c>
      <c r="AT7" s="3">
        <f>+'[2]22 Juli 2026'!$N$5</f>
        <v>15000</v>
      </c>
      <c r="AU7" s="3">
        <f>+'[2]23 Juli 2026'!$M$5</f>
        <v>27000</v>
      </c>
      <c r="AV7" s="2"/>
      <c r="AW7" s="3">
        <f>+'[3]24 Juli 2026'!$M$5</f>
        <v>16000</v>
      </c>
      <c r="AX7" s="2"/>
      <c r="AY7" s="3">
        <f>+'[3]25 Juli 2026'!$M$5</f>
        <v>0</v>
      </c>
      <c r="AZ7" s="2"/>
      <c r="BA7" s="3">
        <f>+'[4]26 Juli 2026'!$M$5</f>
        <v>24750</v>
      </c>
      <c r="BB7" s="3">
        <f>+'[4]26 Juli 2026'!$N$5</f>
        <v>15000</v>
      </c>
      <c r="BC7" s="3">
        <f>+'[4]27 Juli 2026'!$M$5</f>
        <v>10525</v>
      </c>
      <c r="BD7" s="2"/>
      <c r="BE7" s="3">
        <f>+'[4]28 Juli 2026'!$M$5</f>
        <v>25775</v>
      </c>
      <c r="BF7" s="3">
        <f>+'[4]28 Juli 2026'!$N$5</f>
        <v>15000</v>
      </c>
      <c r="BG7" s="3">
        <f>+'[5]29 Juli 2026'!$M$5</f>
        <v>36435</v>
      </c>
      <c r="BH7" s="3"/>
      <c r="BI7" s="3">
        <f>+'[5]30 Juli 2026'!$M$5</f>
        <v>40250</v>
      </c>
      <c r="BJ7" s="3">
        <f>+'[5]30 Juli 2026'!$N$5</f>
        <v>15000</v>
      </c>
      <c r="BK7" s="3">
        <f>+'[6]31 Juli 2026'!$M$5</f>
        <v>22750</v>
      </c>
      <c r="BL7" s="3">
        <f>+'[6]31 Juli 2026'!$N$5</f>
        <v>15000</v>
      </c>
      <c r="BM7" s="8">
        <f>+C7+E7+G7+I7+K7+M7+O7+Q7+S7+U7+W7+Y7+AA7+AC7+AE7+AG7+AI7+AK7+AM7+AO7+AQ7+AS7+AU7+AW7+AY7+BA7+BC7+BE7+BG7+BI7+BK7</f>
        <v>617186.25</v>
      </c>
      <c r="BN7" s="8">
        <f>+D7+F7+H7+J7+L7+N7+P7+R7+T7+V7+X7+Z7+AB7+AD7+AF7+AH7+AJ7+AL7+AN7+AP7+AR7+AT7+AV7+AX7+AZ7+BB7+BD7+BF7+BH7+BJ7+BL7</f>
        <v>180000</v>
      </c>
      <c r="BO7" s="31">
        <f>+BM7+BN7</f>
        <v>797186.25</v>
      </c>
      <c r="BP7" s="28"/>
    </row>
    <row r="8" spans="1:68" x14ac:dyDescent="0.3">
      <c r="A8" s="5">
        <f>+A7+1</f>
        <v>2</v>
      </c>
      <c r="B8" s="5"/>
      <c r="C8" s="12">
        <f>+'[1]1  Juli 2026'!$M$6</f>
        <v>30500</v>
      </c>
      <c r="D8" s="13">
        <f>+'[1]1  Juli 2026'!$N$6</f>
        <v>15000</v>
      </c>
      <c r="E8" s="20">
        <f>+'[1]2 Juli 2026'!$M$6</f>
        <v>0</v>
      </c>
      <c r="F8" s="21"/>
      <c r="G8" s="16">
        <f>+'[1]3 Juli 2026'!$M$6</f>
        <v>28750</v>
      </c>
      <c r="H8" s="24"/>
      <c r="I8" s="16">
        <f>+'[1]4 Juli 2026'!$M$6</f>
        <v>35500</v>
      </c>
      <c r="J8" s="25">
        <f>+'[1]4 Juli 2026'!$N$6</f>
        <v>15000</v>
      </c>
      <c r="K8" s="16">
        <f>+'[1]5 Juli 2026'!$M$6</f>
        <v>39900</v>
      </c>
      <c r="L8" s="25">
        <f>+'[1]5 Juli 2026'!$N$6</f>
        <v>15000</v>
      </c>
      <c r="M8" s="16">
        <f>+'[1]6 Juli 2026'!$M$6</f>
        <v>0</v>
      </c>
      <c r="N8" s="24"/>
      <c r="O8" s="16">
        <f>+'[1]7 Juli 2026'!$M$6</f>
        <v>12250</v>
      </c>
      <c r="P8" s="2"/>
      <c r="Q8" s="3">
        <f>+'[1]8 Juli 2026'!$M$6</f>
        <v>46150</v>
      </c>
      <c r="R8" s="3">
        <f>+'[1]8 Juli 2026'!$N$6</f>
        <v>15000</v>
      </c>
      <c r="S8" s="3">
        <f>+'[1]9 Juli 2026'!$M$6</f>
        <v>23937.5</v>
      </c>
      <c r="T8" s="2"/>
      <c r="U8" s="3">
        <f>+'[1]10 Juli 2026'!$M$6</f>
        <v>13500</v>
      </c>
      <c r="V8" s="2"/>
      <c r="W8" s="3">
        <f>+'[1]11 Juli 2026'!$M$6</f>
        <v>35900</v>
      </c>
      <c r="X8" s="2"/>
      <c r="Y8" s="3">
        <f>+'[1]12 Juli 2026'!$M$6</f>
        <v>38400</v>
      </c>
      <c r="Z8" s="3">
        <f>+'[1]12 Juli 2026'!$N$6</f>
        <v>15000</v>
      </c>
      <c r="AA8" s="3">
        <f>+'[1]13 Juli 2026'!$M$6</f>
        <v>33060</v>
      </c>
      <c r="AB8" s="2"/>
      <c r="AC8" s="3">
        <f>+'[1]14 Juli 2026'!$M$6</f>
        <v>20225</v>
      </c>
      <c r="AD8" s="3">
        <f>+'[1]14 Juli 2026'!$N$6</f>
        <v>15000</v>
      </c>
      <c r="AE8" s="3">
        <f>+'[1]15 Juli 2026'!$M$6</f>
        <v>0</v>
      </c>
      <c r="AF8" s="2"/>
      <c r="AG8" s="3">
        <f>+'[1]16 Juli 2026'!$M$6</f>
        <v>12750</v>
      </c>
      <c r="AH8" s="2"/>
      <c r="AI8" s="3">
        <f>+'[1]17 Juli 2026'!$M$6</f>
        <v>16000</v>
      </c>
      <c r="AJ8" s="3">
        <f>+'[1]17 Juli 2026'!$N$6</f>
        <v>15000</v>
      </c>
      <c r="AK8" s="3">
        <f>+'[1]18 Juli 2026'!$M$6</f>
        <v>27000</v>
      </c>
      <c r="AL8" s="2"/>
      <c r="AM8" s="3">
        <f>+'[2]19 Juli 2026'!$M$6</f>
        <v>31000</v>
      </c>
      <c r="AN8" s="2"/>
      <c r="AO8" s="3">
        <f>+'[2]20 Juli 2026'!$M$6</f>
        <v>16225</v>
      </c>
      <c r="AP8" s="2"/>
      <c r="AQ8" s="3">
        <f>+'[2]21 Juli 2026'!$M$6</f>
        <v>26000</v>
      </c>
      <c r="AR8" s="3">
        <f>+'[2]21 Juli 2026'!$N$6</f>
        <v>15000</v>
      </c>
      <c r="AS8" s="3">
        <f>+'[2]22 Juli 2026'!$M$6</f>
        <v>36250</v>
      </c>
      <c r="AT8" s="3">
        <f>+'[2]22 Juli 2026'!$N$6</f>
        <v>15000</v>
      </c>
      <c r="AU8" s="3">
        <f>+'[2]23 Juli 2026'!$M$6</f>
        <v>0</v>
      </c>
      <c r="AV8" s="2"/>
      <c r="AW8" s="3">
        <f>+'[3]24 Juli 2026'!$M$6</f>
        <v>14750</v>
      </c>
      <c r="AX8" s="3">
        <f>+'[3]24 Juli 2026'!$N$6</f>
        <v>15000</v>
      </c>
      <c r="AY8" s="3">
        <f>+'[3]25 Juli 2026'!$M$6</f>
        <v>38550</v>
      </c>
      <c r="AZ8" s="3">
        <f>+'[3]25 Juli 2026'!$N$6</f>
        <v>15000</v>
      </c>
      <c r="BA8" s="3">
        <f>+'[4]26 Juli 2026'!$M$6</f>
        <v>25000</v>
      </c>
      <c r="BB8" s="2"/>
      <c r="BC8" s="3">
        <f>+'[4]27 Juli 2026'!$M$6</f>
        <v>23400</v>
      </c>
      <c r="BD8" s="3">
        <f>+'[4]27 Juli 2026'!$N$6</f>
        <v>15000</v>
      </c>
      <c r="BE8" s="3">
        <f>+'[4]28 Juli 2026'!$M$6</f>
        <v>31250</v>
      </c>
      <c r="BF8" s="2"/>
      <c r="BG8" s="3">
        <f>+'[5]29 Juli 2026'!$M$6</f>
        <v>25000</v>
      </c>
      <c r="BH8" s="3">
        <f>+'[5]29 Juli 2026'!$N$6</f>
        <v>15000</v>
      </c>
      <c r="BI8" s="3">
        <f>+'[5]30 Juli 2026'!$M$6</f>
        <v>0</v>
      </c>
      <c r="BJ8" s="2"/>
      <c r="BK8" s="3">
        <f>+'[6]31 Juli 2026'!$M$6</f>
        <v>36725</v>
      </c>
      <c r="BL8" s="3">
        <f>+'[6]31 Juli 2026'!$N$6</f>
        <v>15000</v>
      </c>
      <c r="BM8" s="8">
        <f t="shared" ref="BM8:BM13" si="0">+C8+E8+G8+I8+K8+M8+O8+Q8+S8+U8+W8+Y8+AA8+AC8+AE8+AG8+AI8+AK8+AM8+AO8+AQ8+AS8+AU8+AW8+AY8+BA8+BC8+BE8+BG8+BI8+BK8</f>
        <v>717972.5</v>
      </c>
      <c r="BN8" s="8">
        <f t="shared" ref="BN8:BN13" si="1">+D8+F8+H8+J8+L8+N8+P8+R8+T8+V8+X8+Z8+AB8+AD8+AF8+AH8+AJ8+AL8+AN8+AP8+AR8+AT8+AV8+AX8+AZ8+BB8+BD8+BF8+BH8+BJ8+BL8</f>
        <v>210000</v>
      </c>
      <c r="BO8" s="31">
        <f t="shared" ref="BO8:BO13" si="2">+BM8+BN8</f>
        <v>927972.5</v>
      </c>
    </row>
    <row r="9" spans="1:68" x14ac:dyDescent="0.3">
      <c r="A9" s="5">
        <f t="shared" ref="A9:A12" si="3">+A8+1</f>
        <v>3</v>
      </c>
      <c r="B9" s="5"/>
      <c r="C9" s="12">
        <f>+'[1]1  Juli 2026'!$M$7</f>
        <v>0</v>
      </c>
      <c r="D9" s="13"/>
      <c r="E9" s="20">
        <f>+'[1]2 Juli 2026'!$M$7</f>
        <v>28500</v>
      </c>
      <c r="F9" s="21"/>
      <c r="G9" s="16">
        <f>+'[1]3 Juli 2026'!$M$7</f>
        <v>0</v>
      </c>
      <c r="H9" s="24"/>
      <c r="I9" s="16">
        <f>+'[1]4 Juli 2026'!$M$7</f>
        <v>26750</v>
      </c>
      <c r="J9" s="25">
        <f>+'[1]4 Juli 2026'!$N$7</f>
        <v>15000</v>
      </c>
      <c r="K9" s="16">
        <f>+'[1]5 Juli 2026'!$M$7</f>
        <v>48900</v>
      </c>
      <c r="L9" s="25">
        <f>+'[1]5 Juli 2026'!$N$7</f>
        <v>15000</v>
      </c>
      <c r="M9" s="16">
        <f>+'[1]6 Juli 2026'!$M$7</f>
        <v>16525</v>
      </c>
      <c r="N9" s="24"/>
      <c r="O9" s="16">
        <f>+'[1]7 Juli 2026'!$M$7</f>
        <v>0</v>
      </c>
      <c r="P9" s="2"/>
      <c r="Q9" s="3">
        <f>+'[1]8 Juli 2026'!$M$7</f>
        <v>37712.5</v>
      </c>
      <c r="R9" s="3">
        <f>+'[1]8 Juli 2026'!$N$7</f>
        <v>15000</v>
      </c>
      <c r="S9" s="3">
        <f>+'[1]9 Juli 2026'!$M$7</f>
        <v>18500</v>
      </c>
      <c r="T9" s="3">
        <f>+'[1]9 Juli 2026'!$N$7</f>
        <v>15000</v>
      </c>
      <c r="U9" s="3">
        <f>+'[1]10 Juli 2026'!$M$7</f>
        <v>25250</v>
      </c>
      <c r="V9" s="2"/>
      <c r="W9" s="3">
        <f>+'[1]11 Juli 2026'!$M$7</f>
        <v>21800</v>
      </c>
      <c r="X9" s="3">
        <f>+'[1]11 Juli 2026'!$N$7</f>
        <v>15000</v>
      </c>
      <c r="Y9" s="3">
        <f>+'[1]12 Juli 2026'!$M$7</f>
        <v>34387.5</v>
      </c>
      <c r="Z9" s="3">
        <f>+'[1]12 Juli 2026'!$N$7</f>
        <v>15000</v>
      </c>
      <c r="AA9" s="3">
        <f>+'[1]13 Juli 2026'!$M$7</f>
        <v>1000</v>
      </c>
      <c r="AB9" s="2"/>
      <c r="AC9" s="3">
        <f>+'[1]14 Juli 2026'!$M$7</f>
        <v>27750</v>
      </c>
      <c r="AD9" s="3">
        <f>+'[1]14 Juli 2026'!$N$7</f>
        <v>15000</v>
      </c>
      <c r="AE9" s="3">
        <f>+'[1]15 Juli 2026'!$M$7</f>
        <v>24185</v>
      </c>
      <c r="AF9" s="2"/>
      <c r="AG9" s="3">
        <f>+'[1]16 Juli 2026'!$M$7</f>
        <v>0</v>
      </c>
      <c r="AH9" s="2"/>
      <c r="AI9" s="3">
        <f>+'[1]17 Juli 2026'!$M$7</f>
        <v>9750</v>
      </c>
      <c r="AJ9" s="2"/>
      <c r="AK9" s="3">
        <f>+'[1]18 Juli 2026'!$M$7</f>
        <v>26750</v>
      </c>
      <c r="AL9" s="2"/>
      <c r="AM9" s="3">
        <f>+'[2]19 Juli 2026'!$M$7</f>
        <v>34650</v>
      </c>
      <c r="AN9" s="3">
        <f>+'[2]19 Juli 2026'!$N$7</f>
        <v>15000</v>
      </c>
      <c r="AO9" s="3">
        <f>+'[2]20 Juli 2026'!$M$7</f>
        <v>23500</v>
      </c>
      <c r="AP9" s="2"/>
      <c r="AQ9" s="3">
        <f>+'[2]21 Juli 2026'!$M$7</f>
        <v>21750</v>
      </c>
      <c r="AR9" s="2"/>
      <c r="AS9" s="3">
        <f>+'[2]22 Juli 2026'!$M$7</f>
        <v>26000</v>
      </c>
      <c r="AT9" s="3">
        <f>+'[2]22 Juli 2026'!$N$7</f>
        <v>15000</v>
      </c>
      <c r="AU9" s="3">
        <f>+'[2]23 Juli 2026'!$M$7</f>
        <v>31150</v>
      </c>
      <c r="AV9" s="3">
        <f>+'[2]23 Juli 2026'!$N$7</f>
        <v>15000</v>
      </c>
      <c r="AW9" s="3">
        <f>+'[3]24 Juli 2026'!$M$7</f>
        <v>0</v>
      </c>
      <c r="AX9" s="2"/>
      <c r="AY9" s="3">
        <f>+'[3]25 Juli 2026'!$M$7</f>
        <v>0</v>
      </c>
      <c r="AZ9" s="2"/>
      <c r="BA9" s="3">
        <f>+'[4]26 Juli 2026'!$M$7</f>
        <v>29400</v>
      </c>
      <c r="BB9" s="2"/>
      <c r="BC9" s="3">
        <f>+'[6]27 Juli 2026'!$M$7</f>
        <v>9000</v>
      </c>
      <c r="BD9" s="3">
        <f>+'[4]27 Juli 2026'!$N$7</f>
        <v>15000</v>
      </c>
      <c r="BE9" s="3">
        <f>+'[4]28 Juli 2026'!$M$7</f>
        <v>19250</v>
      </c>
      <c r="BF9" s="2"/>
      <c r="BG9" s="3">
        <f>+'[5]29 Juli 2026'!$M$7</f>
        <v>21500</v>
      </c>
      <c r="BH9" s="3">
        <f>+'[5]29 Juli 2026'!$N$7</f>
        <v>15000</v>
      </c>
      <c r="BI9" s="3">
        <f>+'[5]30 Juli 2026'!$M$7</f>
        <v>36750</v>
      </c>
      <c r="BJ9" s="2"/>
      <c r="BK9" s="3">
        <f>+'[6]31 Juli 2026'!$M$8</f>
        <v>44075</v>
      </c>
      <c r="BL9" s="3">
        <f>+'[6]31 Juli 2026'!$N$8</f>
        <v>15000</v>
      </c>
      <c r="BM9" s="8">
        <f t="shared" si="0"/>
        <v>644785</v>
      </c>
      <c r="BN9" s="8">
        <f t="shared" si="1"/>
        <v>195000</v>
      </c>
      <c r="BO9" s="31">
        <f t="shared" si="2"/>
        <v>839785</v>
      </c>
      <c r="BP9" s="28"/>
    </row>
    <row r="10" spans="1:68" x14ac:dyDescent="0.3">
      <c r="A10" s="5">
        <f t="shared" si="3"/>
        <v>4</v>
      </c>
      <c r="B10" s="5"/>
      <c r="C10" s="12">
        <f>+'[1]1  Juli 2026'!$M$8</f>
        <v>0</v>
      </c>
      <c r="D10" s="13"/>
      <c r="E10" s="20">
        <f>+'[1]2 Juli 2026'!$M$8</f>
        <v>26412.5</v>
      </c>
      <c r="F10" s="21">
        <f>+'[1]2 Juli 2026'!$N$8</f>
        <v>15000</v>
      </c>
      <c r="G10" s="16">
        <f>+'[1]3 Juli 2026'!$M$8</f>
        <v>38000</v>
      </c>
      <c r="H10" s="25">
        <f>+'[1]3 Juli 2026'!$N$8</f>
        <v>15000</v>
      </c>
      <c r="I10" s="16">
        <f>+'[1]4 Juli 2026'!$M$8</f>
        <v>24250</v>
      </c>
      <c r="J10" s="25">
        <f>+'[1]4 Juli 2026'!$N$8</f>
        <v>15000</v>
      </c>
      <c r="K10" s="16">
        <f>+'[1]5 Juli 2026'!$M$8</f>
        <v>28000</v>
      </c>
      <c r="L10" s="25">
        <f>+'[1]5 Juli 2026'!$N$8</f>
        <v>15000</v>
      </c>
      <c r="M10" s="16">
        <f>+'[1]6 Juli 2026'!$M$8</f>
        <v>0</v>
      </c>
      <c r="N10" s="24"/>
      <c r="O10" s="16">
        <f>+'[1]7 Juli 2026'!$M$8</f>
        <v>28150</v>
      </c>
      <c r="P10" s="3">
        <f>+'[1]7 Juli 2026'!$N$8</f>
        <v>15000</v>
      </c>
      <c r="Q10" s="3">
        <f>+'[1]8 Juli 2026'!$M$8</f>
        <v>38750</v>
      </c>
      <c r="R10" s="3">
        <f>+'[1]8 Juli 2026'!$N$8</f>
        <v>15000</v>
      </c>
      <c r="S10" s="3">
        <f>+'[1]9 Juli 2026'!$M$8</f>
        <v>14000</v>
      </c>
      <c r="T10" s="2"/>
      <c r="U10" s="3">
        <f>+'[1]10 Juli 2026'!$M$8</f>
        <v>15500</v>
      </c>
      <c r="V10" s="2"/>
      <c r="W10" s="3">
        <f>+'[1]11 Juli 2026'!$M$8</f>
        <v>25750</v>
      </c>
      <c r="X10" s="3">
        <f>+'[1]11 Juli 2026'!$N$8</f>
        <v>15000</v>
      </c>
      <c r="Y10" s="3">
        <f>+'[1]12 Juli 2026'!$M$8</f>
        <v>38737.5</v>
      </c>
      <c r="Z10" s="3">
        <f>+'[1]12 Juli 2026'!$N$8</f>
        <v>15000</v>
      </c>
      <c r="AA10" s="3">
        <f>+'[1]13 Juli 2026'!$M$8</f>
        <v>26000</v>
      </c>
      <c r="AB10" s="2"/>
      <c r="AC10" s="3">
        <f>+'[1]14 Juli 2026'!$M$8</f>
        <v>0</v>
      </c>
      <c r="AD10" s="2"/>
      <c r="AE10" s="3">
        <f>+'[1]15 Juli 2026'!$M$8</f>
        <v>23237.5</v>
      </c>
      <c r="AF10" s="3">
        <f>+'[1]15 Juli 2026'!$N$8</f>
        <v>15000</v>
      </c>
      <c r="AG10" s="3">
        <f>+'[1]16 Juli 2026'!$M$8</f>
        <v>5000</v>
      </c>
      <c r="AH10" s="2"/>
      <c r="AI10" s="3">
        <f>+'[1]17 Juli 2026'!$M$8</f>
        <v>3000</v>
      </c>
      <c r="AJ10" s="2"/>
      <c r="AK10" s="3">
        <f>+'[1]18 Juli 2026'!$M$8</f>
        <v>41900</v>
      </c>
      <c r="AL10" s="3">
        <f>+'[1]18 Juli 2026'!$N$8</f>
        <v>15000</v>
      </c>
      <c r="AM10" s="3">
        <f>+'[2]19 Juli 2026'!$M$8</f>
        <v>29475</v>
      </c>
      <c r="AN10" s="3">
        <f>+'[2]19 Juli 2026'!$N$8</f>
        <v>15000</v>
      </c>
      <c r="AO10" s="3">
        <f>+'[2]20 Juli 2026'!$M$8</f>
        <v>23750</v>
      </c>
      <c r="AP10" s="3">
        <f>+'[2]20 Juli 2026'!$N$8</f>
        <v>15000</v>
      </c>
      <c r="AQ10" s="2"/>
      <c r="AR10" s="2"/>
      <c r="AS10" s="3">
        <f>+'[2]22 Juli 2026'!$M$8</f>
        <v>27462.5</v>
      </c>
      <c r="AT10" s="2"/>
      <c r="AU10" s="3">
        <f>+'[2]23 Juli 2026'!$M$8</f>
        <v>12162.5</v>
      </c>
      <c r="AV10" s="3">
        <f>+'[2]23 Juli 2026'!$N$8</f>
        <v>15000</v>
      </c>
      <c r="AW10" s="3">
        <f>+'[3]24 Juli 2026'!$M$8</f>
        <v>30962.5</v>
      </c>
      <c r="AX10" s="3">
        <f>+'[3]24 Juli 2026'!$N$8</f>
        <v>15000</v>
      </c>
      <c r="AY10" s="3">
        <f>+'[3]25 Juli 2026'!$M$8</f>
        <v>29775</v>
      </c>
      <c r="AZ10" s="3">
        <f>+'[3]25 Juli 2026'!$N$8</f>
        <v>0</v>
      </c>
      <c r="BA10" s="3">
        <f>+'[4]26 Juli 2026'!$M$8</f>
        <v>21250</v>
      </c>
      <c r="BB10" s="3">
        <f>+'[4]26 Juli 2026'!$N$8</f>
        <v>15000</v>
      </c>
      <c r="BC10" s="3">
        <f>+'[4]27 Juli 2026'!$M$8</f>
        <v>15500</v>
      </c>
      <c r="BD10" s="3">
        <f>+'[4]27 Juli 2026'!$N$8</f>
        <v>15000</v>
      </c>
      <c r="BE10" s="3">
        <f>+'[4]28 Juli 2026'!$M$8</f>
        <v>0</v>
      </c>
      <c r="BF10" s="2"/>
      <c r="BG10" s="3">
        <f>+'[5]29 Juli 2026'!$M$8</f>
        <v>23750</v>
      </c>
      <c r="BH10" s="3">
        <f>+'[5]29 Juli 2026'!$N$8</f>
        <v>15000</v>
      </c>
      <c r="BI10" s="3">
        <f>+'[5]30 Juli 2026'!$M$8</f>
        <v>16875</v>
      </c>
      <c r="BJ10" s="2"/>
      <c r="BK10" s="3">
        <f>+'[6]31 Juli 2026'!$M$9</f>
        <v>25250</v>
      </c>
      <c r="BL10" s="3">
        <f>+'[6]31 Juli 2026'!$N$9</f>
        <v>15000</v>
      </c>
      <c r="BM10" s="8">
        <f t="shared" si="0"/>
        <v>632900</v>
      </c>
      <c r="BN10" s="8">
        <f t="shared" si="1"/>
        <v>270000</v>
      </c>
      <c r="BO10" s="31">
        <f t="shared" si="2"/>
        <v>902900</v>
      </c>
      <c r="BP10" s="28"/>
    </row>
    <row r="11" spans="1:68" x14ac:dyDescent="0.3">
      <c r="A11" s="5">
        <f t="shared" si="3"/>
        <v>5</v>
      </c>
      <c r="B11" s="5"/>
      <c r="C11" s="12">
        <f>+'[1]1  Juli 2026'!$M$10</f>
        <v>22250</v>
      </c>
      <c r="D11" s="13">
        <f>+'[1]1  Juli 2026'!$N$10</f>
        <v>15000</v>
      </c>
      <c r="E11" s="20">
        <f>+'[1]2 Juli 2026'!$M$10</f>
        <v>0</v>
      </c>
      <c r="F11" s="21"/>
      <c r="G11" s="16">
        <f>+'[1]3 Juli 2026'!$M$10</f>
        <v>40750</v>
      </c>
      <c r="H11" s="25">
        <f>+'[1]3 Juli 2026'!$N$10</f>
        <v>15000</v>
      </c>
      <c r="I11" s="16">
        <f>+'[1]4 Juli 2026'!$M$10</f>
        <v>37400</v>
      </c>
      <c r="J11" s="25">
        <f>+'[1]4 Juli 2026'!$N$10</f>
        <v>15000</v>
      </c>
      <c r="K11" s="16">
        <f>+'[1]5 Juli 2026'!$M$10</f>
        <v>40250</v>
      </c>
      <c r="L11" s="25">
        <f>+'[1]5 Juli 2026'!$N$10</f>
        <v>15000</v>
      </c>
      <c r="M11" s="16">
        <f>+'[1]6 Juli 2026'!$M$10</f>
        <v>19887.5</v>
      </c>
      <c r="N11" s="25">
        <f>+'[1]6 Juli 2026'!$N$10</f>
        <v>15000</v>
      </c>
      <c r="O11" s="16">
        <f>+'[1]7 Juli 2026'!$M$10</f>
        <v>13750</v>
      </c>
      <c r="P11" s="2"/>
      <c r="Q11" s="3">
        <f>+'[1]8 Juli 2026'!$M$10</f>
        <v>23437.5</v>
      </c>
      <c r="R11" s="2"/>
      <c r="S11" s="3">
        <f>+'[1]9 Juli 2026'!$M$10</f>
        <v>21000</v>
      </c>
      <c r="T11" s="3">
        <f>+'[1]9 Juli 2026'!$N$10</f>
        <v>15000</v>
      </c>
      <c r="U11" s="3">
        <f>+'[1]10 Juli 2026'!$M$10</f>
        <v>19000</v>
      </c>
      <c r="V11" s="2"/>
      <c r="W11" s="3">
        <f>+'[1]11 Juli 2026'!$M$10</f>
        <v>29750</v>
      </c>
      <c r="X11" s="3">
        <f>+'[1]11 Juli 2026'!$N$10</f>
        <v>15000</v>
      </c>
      <c r="Y11" s="3">
        <f>+'[1]12 Juli 2026'!$M$10</f>
        <v>31875</v>
      </c>
      <c r="Z11" s="3">
        <f>+'[1]12 Juli 2026'!$N$10</f>
        <v>15000</v>
      </c>
      <c r="AA11" s="3">
        <f>+'[1]13 Juli 2026'!$M$10</f>
        <v>32625</v>
      </c>
      <c r="AB11" s="2"/>
      <c r="AC11" s="3">
        <f>+'[1]14 Juli 2026'!$M$10</f>
        <v>0</v>
      </c>
      <c r="AD11" s="2"/>
      <c r="AE11" s="3">
        <f>+'[1]15 Juli 2026'!$M$10</f>
        <v>31875</v>
      </c>
      <c r="AF11" s="3">
        <f>+'[1]15 Juli 2026'!$N$10</f>
        <v>15000</v>
      </c>
      <c r="AG11" s="3">
        <f>+'[1]16 Juli 2026'!$M$10</f>
        <v>0</v>
      </c>
      <c r="AH11" s="2"/>
      <c r="AI11" s="3">
        <f>+'[1]17 Juli 2026'!$M$10</f>
        <v>6500</v>
      </c>
      <c r="AJ11" s="2"/>
      <c r="AK11" s="3">
        <f>+'[1]18 Juli 2026'!$M$10</f>
        <v>25000</v>
      </c>
      <c r="AL11" s="2"/>
      <c r="AM11" s="3">
        <f>+'[2]19 Juli 2026'!$M$10</f>
        <v>36500</v>
      </c>
      <c r="AN11" s="3">
        <f>+'[2]19 Juli 2026'!$N$10</f>
        <v>15000</v>
      </c>
      <c r="AO11" s="3">
        <f>+'[2]20 Juli 2026'!$M$10</f>
        <v>23750</v>
      </c>
      <c r="AP11" s="2"/>
      <c r="AQ11" s="3">
        <f>+'[2]21 Juli 2026'!$M$10</f>
        <v>24500</v>
      </c>
      <c r="AR11" s="3">
        <f>+'[2]21 Juli 2026'!$N$10</f>
        <v>15000</v>
      </c>
      <c r="AS11" s="3">
        <f>+'[2]22 Juli 2026'!$M$10</f>
        <v>0</v>
      </c>
      <c r="AT11" s="2"/>
      <c r="AU11" s="3">
        <f>+'[2]23 Juli 2026'!$M$10</f>
        <v>11250</v>
      </c>
      <c r="AV11" s="3">
        <f>+'[2]23 Juli 2026'!$N$10</f>
        <v>15000</v>
      </c>
      <c r="AW11" s="3">
        <f>+'[3]24 Juli 2026'!$M$10</f>
        <v>25500</v>
      </c>
      <c r="AX11" s="2"/>
      <c r="AY11" s="3">
        <f>+'[3]25 Juli 2026'!$M$10</f>
        <v>25750</v>
      </c>
      <c r="AZ11" s="3">
        <f>+'[3]25 Juli 2026'!$N$10</f>
        <v>15000</v>
      </c>
      <c r="BA11" s="3">
        <f>+'[4]26 Juli 2026'!$M$10</f>
        <v>27000</v>
      </c>
      <c r="BB11" s="2"/>
      <c r="BC11" s="3">
        <f>+'[4]27 Juli 2026'!$M$10</f>
        <v>0</v>
      </c>
      <c r="BD11" s="2"/>
      <c r="BE11" s="3">
        <f>+'[4]28 Juli 2026'!$M$10</f>
        <v>22450</v>
      </c>
      <c r="BF11" s="3">
        <f>+'[4]28 Juli 2026'!$N$10</f>
        <v>15000</v>
      </c>
      <c r="BG11" s="3">
        <f>+'[5]29 Juli 2026'!$M$10</f>
        <v>21000</v>
      </c>
      <c r="BH11" s="3"/>
      <c r="BI11" s="3">
        <f>+'[5]30 Juli 2026'!$M$10</f>
        <v>23250</v>
      </c>
      <c r="BJ11" s="3">
        <f>+'[5]30 Juli 2026'!$N$10</f>
        <v>15000</v>
      </c>
      <c r="BK11" s="3">
        <f>+'[6]31 Juli 2026'!$M$11</f>
        <v>0</v>
      </c>
      <c r="BL11" s="2"/>
      <c r="BM11" s="8">
        <f t="shared" si="0"/>
        <v>636300</v>
      </c>
      <c r="BN11" s="8">
        <f t="shared" si="1"/>
        <v>225000</v>
      </c>
      <c r="BO11" s="32">
        <f t="shared" si="2"/>
        <v>861300</v>
      </c>
    </row>
    <row r="12" spans="1:68" x14ac:dyDescent="0.3">
      <c r="A12" s="5">
        <f t="shared" si="3"/>
        <v>6</v>
      </c>
      <c r="B12" s="5"/>
      <c r="C12" s="12">
        <f>+'[1]1  Juli 2026'!$M$11</f>
        <v>31112.5</v>
      </c>
      <c r="D12" s="13">
        <f>+'[1]1  Juli 2026'!$N$11</f>
        <v>15000</v>
      </c>
      <c r="E12" s="20">
        <f>+'[1]2 Juli 2026'!$M$11</f>
        <v>36087.5</v>
      </c>
      <c r="F12" s="21">
        <f>+'[1]2 Juli 2026'!$N$11</f>
        <v>15000</v>
      </c>
      <c r="G12" s="16">
        <f>+'[1]3 Juli 2026'!$M$11</f>
        <v>43150</v>
      </c>
      <c r="H12" s="24"/>
      <c r="I12" s="16">
        <f>+'[1]4 Juli 2026'!$M$11</f>
        <v>44250</v>
      </c>
      <c r="J12" s="25">
        <f>+'[1]4 Juli 2026'!$N$11</f>
        <v>15000</v>
      </c>
      <c r="K12" s="16">
        <f>+'[1]5 Juli 2026'!$M$11</f>
        <v>38000</v>
      </c>
      <c r="L12" s="25">
        <f>+'[1]5 Juli 2026'!$N$11</f>
        <v>15000</v>
      </c>
      <c r="M12" s="16">
        <f>+'[1]6 Juli 2026'!$M$11</f>
        <v>14250</v>
      </c>
      <c r="N12" s="24"/>
      <c r="O12" s="16">
        <f>+'[1]7 Juli 2026'!$M$11</f>
        <v>35375</v>
      </c>
      <c r="P12" s="3">
        <f>+'[1]7 Juli 2026'!$N$11</f>
        <v>15000</v>
      </c>
      <c r="Q12" s="3">
        <f>+'[1]8 Juli 2026'!$M$11</f>
        <v>34500</v>
      </c>
      <c r="R12" s="3">
        <f>+'[1]8 Juli 2026'!$N$11</f>
        <v>15000</v>
      </c>
      <c r="S12" s="3">
        <f>+'[1]9 Juli 2026'!$M$11</f>
        <v>0</v>
      </c>
      <c r="T12" s="2"/>
      <c r="U12" s="3">
        <f>+'[1]10 Juli 2026'!$M$11</f>
        <v>26500</v>
      </c>
      <c r="V12" s="3">
        <f>+'[1]10 Juli 2026'!$N$11</f>
        <v>15000</v>
      </c>
      <c r="W12" s="3">
        <f>+'[1]11 Juli 2026'!$M$11</f>
        <v>25950</v>
      </c>
      <c r="X12" s="3">
        <f>+'[1]11 Juli 2026'!$N$11</f>
        <v>15000</v>
      </c>
      <c r="Y12" s="3">
        <f>+'[1]12 Juli 2026'!$M$11</f>
        <v>30887.5</v>
      </c>
      <c r="Z12" s="3">
        <f>+'[1]12 Juli 2026'!$N$11</f>
        <v>15000</v>
      </c>
      <c r="AA12" s="3">
        <f>+'[1]13 Juli 2026'!$M$11</f>
        <v>0</v>
      </c>
      <c r="AB12" s="2"/>
      <c r="AC12" s="3">
        <f>+'[1]14 Juli 2026'!$M$11</f>
        <v>22500</v>
      </c>
      <c r="AD12" s="2"/>
      <c r="AE12" s="3">
        <f>+'[1]15 Juli 2026'!$M$11</f>
        <v>23750</v>
      </c>
      <c r="AF12" s="2"/>
      <c r="AG12" s="3">
        <f>+'[1]16 Juli 2026'!$M$11</f>
        <v>9750</v>
      </c>
      <c r="AH12" s="2"/>
      <c r="AI12" s="3">
        <f>+'[1]17 Juli 2026'!$M$11</f>
        <v>15000</v>
      </c>
      <c r="AJ12" s="3">
        <f>+'[1]17 Juli 2026'!$N$11</f>
        <v>15000</v>
      </c>
      <c r="AK12" s="3">
        <f>+'[1]18 Juli 2026'!$M$11</f>
        <v>40400</v>
      </c>
      <c r="AL12" s="3">
        <f>+'[1]18 Juli 2026'!$N$11</f>
        <v>15000</v>
      </c>
      <c r="AM12" s="3">
        <f>+'[2]19 Juli 2026'!$M$11</f>
        <v>20375</v>
      </c>
      <c r="AN12" s="3">
        <f>+'[2]19 Juli 2026'!$N$11</f>
        <v>15000</v>
      </c>
      <c r="AO12" s="3">
        <f>+'[2]20 Juli 2026'!$M$11</f>
        <v>21887.5</v>
      </c>
      <c r="AP12" s="3">
        <f>+'[2]20 Juli 2026'!$N$11</f>
        <v>15000</v>
      </c>
      <c r="AQ12" s="2"/>
      <c r="AR12" s="2"/>
      <c r="AS12" s="3">
        <f>+'[2]22 Juli 2026'!$M$11</f>
        <v>20425</v>
      </c>
      <c r="AT12" s="3">
        <f>+'[2]22 Juli 2026'!$N$11</f>
        <v>15000</v>
      </c>
      <c r="AU12" s="3">
        <f>+'[2]23 Juli 2026'!$M$11</f>
        <v>19100</v>
      </c>
      <c r="AV12" s="3">
        <f>+'[2]23 Juli 2026'!$N$11</f>
        <v>15000</v>
      </c>
      <c r="AW12" s="3">
        <f>+'[3]24 Juli 2026'!$M$11</f>
        <v>16500</v>
      </c>
      <c r="AX12" s="2"/>
      <c r="AY12" s="3">
        <f>+'[3]25 Juli 2026'!$M$11</f>
        <v>24250</v>
      </c>
      <c r="AZ12" s="3">
        <f>+'[3]25 Juli 2026'!$N$11</f>
        <v>15000</v>
      </c>
      <c r="BA12" s="3">
        <f>+'[4]26 Juli 2026'!$M$11</f>
        <v>16250</v>
      </c>
      <c r="BB12" s="2"/>
      <c r="BC12" s="3">
        <f>+'[4]27 Juli 2026'!$M$11</f>
        <v>14000</v>
      </c>
      <c r="BD12" s="3">
        <f>+'[4]27 Juli 2026'!$N$11</f>
        <v>15000</v>
      </c>
      <c r="BE12" s="3">
        <f>+'[4]28 Juli 2026'!$M$11</f>
        <v>26775</v>
      </c>
      <c r="BF12" s="3">
        <f>+'[4]28 Juli 2026'!$N$11</f>
        <v>15000</v>
      </c>
      <c r="BG12" s="3">
        <f>+'[5]29 Juli 2026'!$M$11</f>
        <v>0</v>
      </c>
      <c r="BH12" s="3"/>
      <c r="BI12" s="3">
        <f>+'[5]30 Juli 2026'!$M$11</f>
        <v>29750</v>
      </c>
      <c r="BJ12" s="3">
        <f>+'[5]30 Juli 2026'!$N$11</f>
        <v>15000</v>
      </c>
      <c r="BK12" s="3">
        <f>+'[6]31 Juli 2026'!$M$12</f>
        <v>47442.5</v>
      </c>
      <c r="BL12" s="3">
        <f>+'[6]31 Juli 2026'!$N$12</f>
        <v>15000</v>
      </c>
      <c r="BM12" s="8">
        <f t="shared" si="0"/>
        <v>728217.5</v>
      </c>
      <c r="BN12" s="30">
        <f t="shared" si="1"/>
        <v>300000</v>
      </c>
      <c r="BO12" s="31">
        <f t="shared" si="2"/>
        <v>1028217.5</v>
      </c>
      <c r="BP12" s="28"/>
    </row>
    <row r="13" spans="1:68" x14ac:dyDescent="0.3">
      <c r="A13" s="5">
        <f>+A12+1</f>
        <v>7</v>
      </c>
      <c r="B13" s="5"/>
      <c r="C13" s="12"/>
      <c r="D13" s="13"/>
      <c r="E13" s="20"/>
      <c r="F13" s="21"/>
      <c r="G13" s="17"/>
      <c r="H13" s="24"/>
      <c r="I13" s="17"/>
      <c r="J13" s="24"/>
      <c r="K13" s="17"/>
      <c r="L13" s="24"/>
      <c r="M13" s="17"/>
      <c r="N13" s="24"/>
      <c r="O13" s="17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3">
        <f>+'[3]25 Juli 2026'!$M$9</f>
        <v>14575</v>
      </c>
      <c r="AZ13" s="3">
        <f>+'[3]25 Juli 2026'!$N$9</f>
        <v>15000</v>
      </c>
      <c r="BA13" s="2"/>
      <c r="BB13" s="2"/>
      <c r="BC13" s="2"/>
      <c r="BD13" s="2"/>
      <c r="BE13" s="2"/>
      <c r="BF13" s="2"/>
      <c r="BG13" s="3">
        <f>+'[5]29 Juli 2026'!$M$9</f>
        <v>4750</v>
      </c>
      <c r="BH13" s="3"/>
      <c r="BI13" s="3">
        <f>+'[5]30 Juli 2026'!$M$9</f>
        <v>7250</v>
      </c>
      <c r="BJ13" s="3">
        <f>+'[5]30 Juli 2026'!$N$11</f>
        <v>15000</v>
      </c>
      <c r="BK13" s="3">
        <f>+'[6]31 Juli 2026'!$M$10</f>
        <v>18750</v>
      </c>
      <c r="BL13" s="3">
        <f>+'[6]31 Juli 2026'!$N$10</f>
        <v>15000</v>
      </c>
      <c r="BM13" s="8">
        <f t="shared" si="0"/>
        <v>45325</v>
      </c>
      <c r="BN13" s="8">
        <f t="shared" si="1"/>
        <v>45000</v>
      </c>
      <c r="BO13" s="33">
        <f t="shared" si="2"/>
        <v>90325</v>
      </c>
    </row>
    <row r="14" spans="1:68" x14ac:dyDescent="0.3">
      <c r="A14" s="121" t="s">
        <v>3</v>
      </c>
      <c r="B14" s="122"/>
      <c r="C14" s="14">
        <f>SUM(C7:C13)</f>
        <v>83862.5</v>
      </c>
      <c r="D14" s="15">
        <f t="shared" ref="D14:BL14" si="4">SUM(D7:D13)</f>
        <v>45000</v>
      </c>
      <c r="E14" s="22">
        <f t="shared" si="4"/>
        <v>125000</v>
      </c>
      <c r="F14" s="23">
        <f t="shared" si="4"/>
        <v>30000</v>
      </c>
      <c r="G14" s="10">
        <f t="shared" si="4"/>
        <v>150650</v>
      </c>
      <c r="H14" s="23">
        <f t="shared" si="4"/>
        <v>30000</v>
      </c>
      <c r="I14" s="10">
        <f t="shared" si="4"/>
        <v>196100</v>
      </c>
      <c r="J14" s="23">
        <f t="shared" si="4"/>
        <v>90000</v>
      </c>
      <c r="K14" s="10">
        <f t="shared" si="4"/>
        <v>221300</v>
      </c>
      <c r="L14" s="23">
        <f t="shared" si="4"/>
        <v>75000</v>
      </c>
      <c r="M14" s="10">
        <f t="shared" si="4"/>
        <v>74162.5</v>
      </c>
      <c r="N14" s="23">
        <f t="shared" si="4"/>
        <v>15000</v>
      </c>
      <c r="O14" s="10">
        <f t="shared" si="4"/>
        <v>89525</v>
      </c>
      <c r="P14" s="8">
        <f t="shared" si="4"/>
        <v>30000</v>
      </c>
      <c r="Q14" s="8">
        <f t="shared" si="4"/>
        <v>204426.25</v>
      </c>
      <c r="R14" s="8">
        <f t="shared" si="4"/>
        <v>60000</v>
      </c>
      <c r="S14" s="8">
        <f t="shared" si="4"/>
        <v>97937.5</v>
      </c>
      <c r="T14" s="8">
        <f t="shared" si="4"/>
        <v>45000</v>
      </c>
      <c r="U14" s="8">
        <f t="shared" si="4"/>
        <v>106000</v>
      </c>
      <c r="V14" s="8">
        <f t="shared" si="4"/>
        <v>15000</v>
      </c>
      <c r="W14" s="8">
        <f t="shared" si="4"/>
        <v>161150</v>
      </c>
      <c r="X14" s="8">
        <f t="shared" si="4"/>
        <v>75000</v>
      </c>
      <c r="Y14" s="8">
        <f t="shared" si="4"/>
        <v>213687.5</v>
      </c>
      <c r="Z14" s="8">
        <f t="shared" si="4"/>
        <v>90000</v>
      </c>
      <c r="AA14" s="8">
        <f t="shared" si="4"/>
        <v>92685</v>
      </c>
      <c r="AB14" s="8">
        <f t="shared" si="4"/>
        <v>0</v>
      </c>
      <c r="AC14" s="8">
        <f t="shared" si="4"/>
        <v>70475</v>
      </c>
      <c r="AD14" s="8">
        <f t="shared" si="4"/>
        <v>30000</v>
      </c>
      <c r="AE14" s="8">
        <f t="shared" si="4"/>
        <v>135497.5</v>
      </c>
      <c r="AF14" s="8">
        <f t="shared" si="4"/>
        <v>45000</v>
      </c>
      <c r="AG14" s="8">
        <f t="shared" si="4"/>
        <v>27500</v>
      </c>
      <c r="AH14" s="8">
        <f t="shared" si="4"/>
        <v>0</v>
      </c>
      <c r="AI14" s="8">
        <f t="shared" si="4"/>
        <v>55750</v>
      </c>
      <c r="AJ14" s="8">
        <f t="shared" si="4"/>
        <v>30000</v>
      </c>
      <c r="AK14" s="8">
        <f t="shared" si="4"/>
        <v>184050</v>
      </c>
      <c r="AL14" s="8">
        <f t="shared" si="4"/>
        <v>45000</v>
      </c>
      <c r="AM14" s="8">
        <f t="shared" si="4"/>
        <v>180750</v>
      </c>
      <c r="AN14" s="8">
        <f t="shared" si="4"/>
        <v>60000</v>
      </c>
      <c r="AO14" s="8">
        <f t="shared" si="4"/>
        <v>137862.5</v>
      </c>
      <c r="AP14" s="8">
        <f t="shared" si="4"/>
        <v>30000</v>
      </c>
      <c r="AQ14" s="8">
        <f t="shared" si="4"/>
        <v>105500</v>
      </c>
      <c r="AR14" s="8">
        <f t="shared" si="4"/>
        <v>45000</v>
      </c>
      <c r="AS14" s="8">
        <f t="shared" si="4"/>
        <v>148412.5</v>
      </c>
      <c r="AT14" s="8">
        <f t="shared" si="4"/>
        <v>60000</v>
      </c>
      <c r="AU14" s="8">
        <f t="shared" si="4"/>
        <v>100662.5</v>
      </c>
      <c r="AV14" s="8">
        <f t="shared" si="4"/>
        <v>60000</v>
      </c>
      <c r="AW14" s="8">
        <f t="shared" si="4"/>
        <v>103712.5</v>
      </c>
      <c r="AX14" s="8">
        <f t="shared" si="4"/>
        <v>30000</v>
      </c>
      <c r="AY14" s="8">
        <f t="shared" si="4"/>
        <v>132900</v>
      </c>
      <c r="AZ14" s="8">
        <f t="shared" si="4"/>
        <v>60000</v>
      </c>
      <c r="BA14" s="8">
        <f t="shared" si="4"/>
        <v>143650</v>
      </c>
      <c r="BB14" s="8">
        <f t="shared" si="4"/>
        <v>30000</v>
      </c>
      <c r="BC14" s="8">
        <f t="shared" si="4"/>
        <v>72425</v>
      </c>
      <c r="BD14" s="8">
        <f t="shared" si="4"/>
        <v>60000</v>
      </c>
      <c r="BE14" s="8">
        <f t="shared" si="4"/>
        <v>125500</v>
      </c>
      <c r="BF14" s="8">
        <f t="shared" si="4"/>
        <v>45000</v>
      </c>
      <c r="BG14" s="8">
        <f t="shared" si="4"/>
        <v>132435</v>
      </c>
      <c r="BH14" s="8">
        <f t="shared" si="4"/>
        <v>45000</v>
      </c>
      <c r="BI14" s="8">
        <f t="shared" si="4"/>
        <v>154125</v>
      </c>
      <c r="BJ14" s="8">
        <f t="shared" si="4"/>
        <v>60000</v>
      </c>
      <c r="BK14" s="8">
        <f t="shared" si="4"/>
        <v>194992.5</v>
      </c>
      <c r="BL14" s="8">
        <f t="shared" si="4"/>
        <v>90000</v>
      </c>
      <c r="BM14" s="8">
        <f>SUM(BM7:BM13)</f>
        <v>4022686.25</v>
      </c>
      <c r="BN14" s="8">
        <f>SUM(BN7:BN13)</f>
        <v>1425000</v>
      </c>
      <c r="BO14" s="31">
        <f>SUM(BO7:BO13)</f>
        <v>5447686.25</v>
      </c>
    </row>
    <row r="19" spans="2:5" x14ac:dyDescent="0.3">
      <c r="B19" s="43">
        <f>1</f>
        <v>1</v>
      </c>
      <c r="C19" s="26">
        <f>+'[7]1  Juli 2026'!$H$23</f>
        <v>1642250</v>
      </c>
      <c r="D19" s="26">
        <f>+'[7]1  Juli 2026'!$O$13</f>
        <v>130612.5</v>
      </c>
      <c r="E19" s="26">
        <f>+'[7]1  Juli 2026'!$P$20</f>
        <v>20000</v>
      </c>
    </row>
    <row r="20" spans="2:5" x14ac:dyDescent="0.3">
      <c r="B20">
        <f>1+B19</f>
        <v>2</v>
      </c>
      <c r="C20" s="26">
        <f>+'[7]2 Juli 2026'!$H$23</f>
        <v>2430000</v>
      </c>
      <c r="D20" s="26">
        <f>+'[7]2 Juli 2026'!$O$13</f>
        <v>155000</v>
      </c>
      <c r="E20" s="26">
        <f>+'[7]2 Juli 2026'!$P$20</f>
        <v>20000</v>
      </c>
    </row>
    <row r="21" spans="2:5" x14ac:dyDescent="0.3">
      <c r="B21">
        <f t="shared" ref="B21:B49" si="5">1+B20</f>
        <v>3</v>
      </c>
      <c r="C21" s="26">
        <f>+'[7]3 Juli 2026'!$H$25</f>
        <v>3310000</v>
      </c>
      <c r="D21" s="26">
        <f>+'[7]1  Juli 2026'!$O$13</f>
        <v>130612.5</v>
      </c>
      <c r="E21" s="26">
        <f>+'[7]1  Juli 2026'!$P$20</f>
        <v>20000</v>
      </c>
    </row>
    <row r="22" spans="2:5" x14ac:dyDescent="0.3">
      <c r="B22">
        <f t="shared" si="5"/>
        <v>4</v>
      </c>
      <c r="C22" s="26">
        <f>+'[7]4 Juli 2026'!$H$27</f>
        <v>3820000</v>
      </c>
      <c r="D22" s="26">
        <f>+'[7]4 Juli 2026'!$O$13</f>
        <v>286100</v>
      </c>
      <c r="E22" s="26">
        <f>+'[7]4 Juli 2026'!$P$21</f>
        <v>88000</v>
      </c>
    </row>
    <row r="23" spans="2:5" x14ac:dyDescent="0.3">
      <c r="B23">
        <f t="shared" si="5"/>
        <v>5</v>
      </c>
      <c r="C23" s="26">
        <f>+'[7]5 Juli 2026'!$H$29</f>
        <v>4085000</v>
      </c>
      <c r="D23" s="26">
        <f>+'[7]5 Juli 2026'!$O$13</f>
        <v>323550</v>
      </c>
      <c r="E23" s="26">
        <f>+'[7]5 Juli 2026'!$P$21</f>
        <v>64000</v>
      </c>
    </row>
    <row r="24" spans="2:5" x14ac:dyDescent="0.3">
      <c r="B24">
        <f t="shared" si="5"/>
        <v>6</v>
      </c>
      <c r="C24" s="26">
        <f>+'[7]6 Juli 2026'!$H$17</f>
        <v>1658650</v>
      </c>
      <c r="D24" s="26">
        <f>+'[7]6 Juli 2026'!$O$13</f>
        <v>94912.5</v>
      </c>
      <c r="E24" s="26">
        <f>+'[7]6 Juli 2026'!$P$19</f>
        <v>20000</v>
      </c>
    </row>
    <row r="25" spans="2:5" x14ac:dyDescent="0.3">
      <c r="B25">
        <f t="shared" si="5"/>
        <v>7</v>
      </c>
      <c r="C25" s="26">
        <f>+'[7]7 Juli 2026'!$H$17</f>
        <v>1692500</v>
      </c>
      <c r="D25" s="26">
        <f>+'[7]7 Juli 2026'!$O$13</f>
        <v>119525</v>
      </c>
      <c r="E25" s="26">
        <f>+'[7]7 Juli 2026'!$P$19</f>
        <v>37000</v>
      </c>
    </row>
    <row r="26" spans="2:5" x14ac:dyDescent="0.3">
      <c r="B26">
        <f t="shared" si="5"/>
        <v>8</v>
      </c>
      <c r="C26" s="26">
        <f>+'[7]8 Juli 2026'!$H$25</f>
        <v>3850525</v>
      </c>
      <c r="D26" s="26">
        <f>+'[7]8 Juli 2026'!$O$13</f>
        <v>264426.25</v>
      </c>
      <c r="E26" s="26">
        <f>+'[7]8 Juli 2026'!$P$21</f>
        <v>81000</v>
      </c>
    </row>
    <row r="27" spans="2:5" x14ac:dyDescent="0.3">
      <c r="B27">
        <f t="shared" si="5"/>
        <v>9</v>
      </c>
      <c r="C27" s="26">
        <f>+'[7]9 Juli 2026'!$H$18</f>
        <v>1958750</v>
      </c>
      <c r="D27" s="26">
        <f>+'[7]9 Juli 2026'!$O$13</f>
        <v>142937.5</v>
      </c>
      <c r="E27" s="26">
        <f>+'[7]9 Juli 2026'!$P$19</f>
        <v>20000</v>
      </c>
    </row>
    <row r="28" spans="2:5" x14ac:dyDescent="0.3">
      <c r="B28">
        <f t="shared" si="5"/>
        <v>10</v>
      </c>
      <c r="C28" s="26">
        <f>+'[7]10 Juli 2026'!$H$23</f>
        <v>2050000</v>
      </c>
      <c r="D28" s="26">
        <f>+'[7]10 Juli 2026'!$O$13</f>
        <v>121000</v>
      </c>
      <c r="E28" s="26">
        <f>+'[7]10 Juli 2026'!$P$19</f>
        <v>36000</v>
      </c>
    </row>
    <row r="29" spans="2:5" x14ac:dyDescent="0.3">
      <c r="B29">
        <f t="shared" si="5"/>
        <v>11</v>
      </c>
      <c r="C29" s="26">
        <f>+'[7]11 Juli 2026'!$H$27</f>
        <v>3157375</v>
      </c>
      <c r="D29" s="26">
        <f>+'[7]11 Juli 2026'!$O$12</f>
        <v>236150</v>
      </c>
      <c r="E29" s="26">
        <f>+'[7]11 Juli 2026'!$P$18</f>
        <v>20000</v>
      </c>
    </row>
    <row r="30" spans="2:5" x14ac:dyDescent="0.3">
      <c r="B30">
        <f t="shared" si="5"/>
        <v>12</v>
      </c>
      <c r="C30" s="26">
        <f>+'[7]12 Juli 2026'!$H$31</f>
        <v>4011250</v>
      </c>
      <c r="D30" s="26">
        <f>+'[7]12 Juli 2026'!$O$13</f>
        <v>303687.5</v>
      </c>
      <c r="E30" s="26">
        <f>+'[7]1  Juli 2026'!$P$20</f>
        <v>20000</v>
      </c>
    </row>
    <row r="31" spans="2:5" x14ac:dyDescent="0.3">
      <c r="B31">
        <f t="shared" si="5"/>
        <v>13</v>
      </c>
      <c r="C31" s="26">
        <f>+'[7]13 Juli 2026'!$H$18</f>
        <v>1695500</v>
      </c>
      <c r="D31" s="26">
        <f>+'[7]13 Juli 2026'!$O$13</f>
        <v>92685</v>
      </c>
      <c r="E31" s="26">
        <f>+'[7]13 Juli 2026'!$P$20</f>
        <v>35000</v>
      </c>
    </row>
    <row r="32" spans="2:5" x14ac:dyDescent="0.3">
      <c r="B32">
        <f t="shared" si="5"/>
        <v>14</v>
      </c>
      <c r="C32" s="26">
        <f>+'[7]14 Juli 2026'!$H$18</f>
        <v>1409500</v>
      </c>
      <c r="D32" s="26">
        <f>+'[7]14 Juli 2026'!$O$13</f>
        <v>100475</v>
      </c>
      <c r="E32" s="26">
        <f>+'[7]1  Juli 2026'!$P$20</f>
        <v>20000</v>
      </c>
    </row>
    <row r="33" spans="2:5" x14ac:dyDescent="0.3">
      <c r="B33">
        <f t="shared" si="5"/>
        <v>15</v>
      </c>
      <c r="C33" s="26">
        <f>+'[7]15 Juli 2026'!$H$24</f>
        <v>2621750</v>
      </c>
      <c r="D33" s="26">
        <f>+'[7]15 Juli 2026'!$O$13</f>
        <v>180497.5</v>
      </c>
      <c r="E33" s="26">
        <f>+'[7]1  Juli 2026'!$P$20</f>
        <v>20000</v>
      </c>
    </row>
    <row r="34" spans="2:5" x14ac:dyDescent="0.3">
      <c r="B34">
        <f t="shared" si="5"/>
        <v>16</v>
      </c>
      <c r="C34" s="26">
        <f>+'[7]16 Juli 2026'!$H$9</f>
        <v>550000</v>
      </c>
      <c r="D34" s="26">
        <f>+'[7]16 Juli 2026'!$O$13</f>
        <v>27500</v>
      </c>
      <c r="E34" s="26">
        <f>+'[7]1  Juli 2026'!$P$20</f>
        <v>20000</v>
      </c>
    </row>
    <row r="35" spans="2:5" x14ac:dyDescent="0.3">
      <c r="B35">
        <f t="shared" si="5"/>
        <v>17</v>
      </c>
      <c r="C35" s="26">
        <f>+'[7]17 Juli 2026'!$H$15</f>
        <v>1260000</v>
      </c>
      <c r="D35" s="26">
        <f>+'[7]17 Juli 2026'!$O$13</f>
        <v>85750</v>
      </c>
      <c r="E35" s="26">
        <f>+'[7]17 Juli 2026'!$P$19</f>
        <v>20000</v>
      </c>
    </row>
    <row r="36" spans="2:5" x14ac:dyDescent="0.3">
      <c r="B36">
        <f t="shared" si="5"/>
        <v>18</v>
      </c>
      <c r="C36" s="26">
        <f>+'[7]18 Juli 2026'!$H$29</f>
        <v>3825000</v>
      </c>
      <c r="D36" s="26">
        <f>+'[7]18 Juli 2026'!$O$13</f>
        <v>229050</v>
      </c>
      <c r="E36" s="26">
        <f>+'[7]18 Juli 2026'!$P$19</f>
        <v>39000</v>
      </c>
    </row>
    <row r="37" spans="2:5" x14ac:dyDescent="0.3">
      <c r="B37">
        <f t="shared" si="5"/>
        <v>19</v>
      </c>
      <c r="C37" s="26">
        <f>+'[7]19 Juli 2026'!$H$25</f>
        <v>3517000</v>
      </c>
      <c r="D37" s="26">
        <f>+'[7]19 Juli 2026'!$O$13</f>
        <v>240750</v>
      </c>
      <c r="E37" s="26">
        <f>+'[7]19 Juli 2026'!$P$19</f>
        <v>20000</v>
      </c>
    </row>
    <row r="38" spans="2:5" x14ac:dyDescent="0.3">
      <c r="B38">
        <f t="shared" si="5"/>
        <v>20</v>
      </c>
      <c r="C38" s="26">
        <f>+'[7]20 Juli 2026'!$H$25</f>
        <v>2762950</v>
      </c>
      <c r="D38" s="26">
        <f>+'[7]1  Juli 2026'!$O$13</f>
        <v>130612.5</v>
      </c>
      <c r="E38" s="26">
        <f>+'[7]20 Juli 2026'!$P$19</f>
        <v>20000</v>
      </c>
    </row>
    <row r="39" spans="2:5" x14ac:dyDescent="0.3">
      <c r="B39">
        <f t="shared" si="5"/>
        <v>21</v>
      </c>
      <c r="C39" s="26">
        <f>+'[7]21 Juli 2026'!$H$18</f>
        <v>2255000</v>
      </c>
      <c r="D39" s="26">
        <f>+'[7]21 Juli 2026'!$O$13</f>
        <v>150500</v>
      </c>
      <c r="E39" s="26">
        <f>+'[7]1  Juli 2026'!$P$20</f>
        <v>20000</v>
      </c>
    </row>
    <row r="40" spans="2:5" x14ac:dyDescent="0.3">
      <c r="B40">
        <f t="shared" si="5"/>
        <v>22</v>
      </c>
      <c r="C40" s="26">
        <f>+'[7]22 Juli 2026'!$H$26</f>
        <v>2968250</v>
      </c>
      <c r="D40" s="26">
        <f>+'[7]22 Juli 2026'!$O$13</f>
        <v>208412.5</v>
      </c>
      <c r="E40" s="26">
        <f>+'[7]22 Juli 2026'!$P$19</f>
        <v>40000</v>
      </c>
    </row>
    <row r="41" spans="2:5" x14ac:dyDescent="0.3">
      <c r="B41">
        <f t="shared" si="5"/>
        <v>23</v>
      </c>
      <c r="C41" s="26">
        <f>+'[7]23 Juli 2026'!$H$21</f>
        <v>2365250</v>
      </c>
      <c r="D41" s="26">
        <f>+'[7]23 Juli 2026'!$O$13</f>
        <v>160662.5</v>
      </c>
      <c r="E41" s="26">
        <f>+'[7]23 Juli 2026'!$P$19</f>
        <v>66000</v>
      </c>
    </row>
    <row r="42" spans="2:5" x14ac:dyDescent="0.3">
      <c r="B42">
        <f t="shared" si="5"/>
        <v>24</v>
      </c>
      <c r="C42" s="26">
        <f>+'[7]24 Juli 2026'!$H$17</f>
        <v>1934250</v>
      </c>
      <c r="D42" s="26">
        <f>+'[7]24 Juli 2026'!$O$13</f>
        <v>133712.5</v>
      </c>
      <c r="E42" s="26">
        <f>+'[7]24 Juli 2026'!$P$19</f>
        <v>20000</v>
      </c>
    </row>
    <row r="43" spans="2:5" x14ac:dyDescent="0.3">
      <c r="B43">
        <f t="shared" si="5"/>
        <v>25</v>
      </c>
      <c r="C43" s="26">
        <f>+'[7]25 Juli 2026'!$H$24</f>
        <v>2560000</v>
      </c>
      <c r="D43" s="26">
        <f>+'[7]25 Juli 2026'!$O$12</f>
        <v>192900</v>
      </c>
      <c r="E43" s="26">
        <f>+'[7]25 Juli 2026'!$P$21</f>
        <v>73000</v>
      </c>
    </row>
    <row r="44" spans="2:5" x14ac:dyDescent="0.3">
      <c r="B44">
        <f t="shared" si="5"/>
        <v>26</v>
      </c>
      <c r="C44" s="26">
        <f>+'[7]26 Juli 2026'!$H$16</f>
        <v>2705000</v>
      </c>
      <c r="D44" s="26">
        <f>+'[7]26 Juli 2026'!$O$13</f>
        <v>173650</v>
      </c>
      <c r="E44" s="26">
        <f>+'[7]26 Juli 2026'!$P$19</f>
        <v>20000</v>
      </c>
    </row>
    <row r="45" spans="2:5" x14ac:dyDescent="0.3">
      <c r="B45">
        <f t="shared" si="5"/>
        <v>27</v>
      </c>
      <c r="C45" s="26">
        <f>+'[4]27 Juli 2026'!$H$16</f>
        <v>1625500</v>
      </c>
      <c r="D45" s="26">
        <f>+'[4]28 Juli 2026'!$O$13</f>
        <v>170500</v>
      </c>
      <c r="E45" s="26">
        <f>+'[4]28 Juli 2026'!$P$19</f>
        <v>20000</v>
      </c>
    </row>
    <row r="46" spans="2:5" x14ac:dyDescent="0.3">
      <c r="B46">
        <f t="shared" si="5"/>
        <v>28</v>
      </c>
      <c r="C46" s="26">
        <f>+'[4]28 Juli 2026'!$H$20</f>
        <v>2510000</v>
      </c>
      <c r="D46" s="26">
        <f>+'[4]28 Juli 2026'!$O$13</f>
        <v>170500</v>
      </c>
      <c r="E46" s="26">
        <f>+'[4]28 Juli 2026'!$P$19</f>
        <v>20000</v>
      </c>
    </row>
    <row r="47" spans="2:5" x14ac:dyDescent="0.3">
      <c r="B47">
        <f t="shared" si="5"/>
        <v>29</v>
      </c>
      <c r="C47" s="26">
        <f>+'[6]29 Juli 2026'!$H$27</f>
        <v>2455700</v>
      </c>
      <c r="D47" s="26">
        <f>+'[6]29 Juli 2026'!$O$13</f>
        <v>177435</v>
      </c>
      <c r="E47" s="26">
        <f>+'[6]29 Juli 2026'!$P$21</f>
        <v>20000</v>
      </c>
    </row>
    <row r="48" spans="2:5" x14ac:dyDescent="0.3">
      <c r="B48">
        <f t="shared" si="5"/>
        <v>30</v>
      </c>
      <c r="C48" s="26">
        <f>+'[6]30 Juli 2026'!$H$25</f>
        <v>3082500</v>
      </c>
      <c r="D48" s="26">
        <f>+'[6]30 Juli 2026'!$O$13</f>
        <v>214125</v>
      </c>
      <c r="E48" s="26">
        <f>+'[6]31 Juli 2026'!$P$23</f>
        <v>37000</v>
      </c>
    </row>
    <row r="49" spans="2:8" x14ac:dyDescent="0.3">
      <c r="B49">
        <f t="shared" si="5"/>
        <v>31</v>
      </c>
      <c r="C49" s="26">
        <f>+'[6]31 Juli 2026'!$H$28</f>
        <v>3853750</v>
      </c>
      <c r="D49" s="26">
        <f>+'[6]31 Juli 2026'!$O$14</f>
        <v>284992.5</v>
      </c>
      <c r="E49" s="26">
        <f>+'[6]31 Juli 2026'!$P$23</f>
        <v>37000</v>
      </c>
    </row>
    <row r="50" spans="2:8" x14ac:dyDescent="0.3">
      <c r="B50" s="94" t="s">
        <v>3</v>
      </c>
      <c r="C50" s="95">
        <f>SUM(C19:C49)</f>
        <v>79623200</v>
      </c>
      <c r="D50" s="3">
        <f t="shared" ref="D50:E50" si="6">SUM(D19:D49)</f>
        <v>5433223.75</v>
      </c>
      <c r="E50" s="3">
        <f t="shared" si="6"/>
        <v>1013000</v>
      </c>
      <c r="F50" s="93">
        <f>+C50-D50-E50</f>
        <v>73176976.25</v>
      </c>
    </row>
    <row r="51" spans="2:8" x14ac:dyDescent="0.3">
      <c r="F51" s="91"/>
    </row>
    <row r="52" spans="2:8" x14ac:dyDescent="0.3">
      <c r="F52" s="91" t="s">
        <v>100</v>
      </c>
      <c r="H52" s="116" t="s">
        <v>101</v>
      </c>
    </row>
    <row r="53" spans="2:8" x14ac:dyDescent="0.3">
      <c r="B53" t="s">
        <v>86</v>
      </c>
      <c r="C53" s="26">
        <f>+'REKAP PENDAPATAN JUL 26'!V16</f>
        <v>2303493.9369999999</v>
      </c>
      <c r="F53" s="44">
        <v>20524199</v>
      </c>
    </row>
    <row r="54" spans="2:8" x14ac:dyDescent="0.3">
      <c r="B54" t="s">
        <v>87</v>
      </c>
      <c r="C54" s="26">
        <f>+E50</f>
        <v>1013000</v>
      </c>
      <c r="F54" s="44">
        <v>14426669</v>
      </c>
    </row>
    <row r="55" spans="2:8" ht="15" thickBot="1" x14ac:dyDescent="0.35">
      <c r="B55" t="s">
        <v>99</v>
      </c>
      <c r="C55" s="26">
        <f>+'[8]PENGELUARAN JULI'!$H$86</f>
        <v>23620476</v>
      </c>
      <c r="F55" s="44">
        <v>585052</v>
      </c>
    </row>
    <row r="56" spans="2:8" ht="15" thickBot="1" x14ac:dyDescent="0.35">
      <c r="B56" s="2" t="s">
        <v>89</v>
      </c>
      <c r="C56" s="93">
        <f>SUM(C53:C55)</f>
        <v>26936969.936999999</v>
      </c>
      <c r="F56" s="117">
        <f>SUM(F53:F55)</f>
        <v>35535920</v>
      </c>
    </row>
    <row r="57" spans="2:8" x14ac:dyDescent="0.3">
      <c r="F57" s="44"/>
    </row>
    <row r="58" spans="2:8" x14ac:dyDescent="0.3">
      <c r="B58" s="2" t="s">
        <v>88</v>
      </c>
      <c r="C58" s="92">
        <f>+C50-C56</f>
        <v>52686230.063000001</v>
      </c>
      <c r="F58" s="44"/>
    </row>
  </sheetData>
  <mergeCells count="40">
    <mergeCell ref="A3:B3"/>
    <mergeCell ref="C6:D6"/>
    <mergeCell ref="E6:F6"/>
    <mergeCell ref="S6:T6"/>
    <mergeCell ref="U6:V6"/>
    <mergeCell ref="W6:X6"/>
    <mergeCell ref="B4:B6"/>
    <mergeCell ref="A4:A6"/>
    <mergeCell ref="BG6:BH6"/>
    <mergeCell ref="C4:BK4"/>
    <mergeCell ref="G6:H6"/>
    <mergeCell ref="I6:J6"/>
    <mergeCell ref="K6:L6"/>
    <mergeCell ref="AE6:AF6"/>
    <mergeCell ref="AW6:AX6"/>
    <mergeCell ref="AY6:AZ6"/>
    <mergeCell ref="BA6:BB6"/>
    <mergeCell ref="BC6:BD6"/>
    <mergeCell ref="BE6:BF6"/>
    <mergeCell ref="AG6:AH6"/>
    <mergeCell ref="AI6:AJ6"/>
    <mergeCell ref="M6:N6"/>
    <mergeCell ref="O6:P6"/>
    <mergeCell ref="Q6:R6"/>
    <mergeCell ref="BO5:BO6"/>
    <mergeCell ref="BI6:BJ6"/>
    <mergeCell ref="BK6:BL6"/>
    <mergeCell ref="A14:B14"/>
    <mergeCell ref="BM4:BN4"/>
    <mergeCell ref="BM5:BM6"/>
    <mergeCell ref="BN5:BN6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C6CA-18D6-4C52-AEFF-4181E7467DF1}">
  <dimension ref="A1:V16"/>
  <sheetViews>
    <sheetView workbookViewId="0">
      <selection activeCell="V21" sqref="V21:V22"/>
    </sheetView>
  </sheetViews>
  <sheetFormatPr defaultRowHeight="14.4" x14ac:dyDescent="0.3"/>
  <cols>
    <col min="1" max="1" width="4.5546875" style="44" customWidth="1"/>
    <col min="2" max="2" width="21.5546875" style="44" customWidth="1"/>
    <col min="3" max="3" width="16.6640625" style="44" customWidth="1"/>
    <col min="4" max="4" width="5.88671875" style="44" customWidth="1"/>
    <col min="5" max="6" width="11.6640625" style="44" customWidth="1"/>
    <col min="7" max="7" width="8.88671875" style="44"/>
    <col min="8" max="8" width="10.6640625" style="44" customWidth="1"/>
    <col min="9" max="9" width="10.77734375" style="44" customWidth="1"/>
    <col min="10" max="13" width="8.88671875" style="44"/>
    <col min="14" max="14" width="11.88671875" style="44" customWidth="1"/>
    <col min="15" max="15" width="8.88671875" style="44"/>
    <col min="16" max="16" width="12.5546875" style="44" customWidth="1"/>
    <col min="17" max="17" width="8.88671875" style="44"/>
    <col min="18" max="18" width="11.6640625" style="44" customWidth="1"/>
    <col min="19" max="20" width="8.88671875" style="44"/>
    <col min="21" max="21" width="11.6640625" style="44" customWidth="1"/>
    <col min="22" max="22" width="13.6640625" style="44" customWidth="1"/>
    <col min="23" max="16384" width="8.88671875" style="44"/>
  </cols>
  <sheetData>
    <row r="1" spans="1:22" x14ac:dyDescent="0.3">
      <c r="A1" s="142" t="s">
        <v>0</v>
      </c>
      <c r="B1" s="142" t="s">
        <v>36</v>
      </c>
      <c r="C1" s="138" t="s">
        <v>74</v>
      </c>
      <c r="D1" s="142" t="s">
        <v>38</v>
      </c>
      <c r="E1" s="142" t="s">
        <v>37</v>
      </c>
      <c r="F1" s="142" t="s">
        <v>64</v>
      </c>
      <c r="G1" s="141" t="s">
        <v>46</v>
      </c>
      <c r="H1" s="141"/>
      <c r="I1" s="142" t="s">
        <v>5</v>
      </c>
      <c r="J1" s="142" t="s">
        <v>54</v>
      </c>
      <c r="K1" s="142"/>
      <c r="L1" s="147" t="s">
        <v>81</v>
      </c>
      <c r="M1" s="148"/>
      <c r="N1" s="47" t="s">
        <v>64</v>
      </c>
      <c r="O1" s="141" t="s">
        <v>39</v>
      </c>
      <c r="P1" s="141"/>
      <c r="Q1" s="141" t="s">
        <v>42</v>
      </c>
      <c r="R1" s="141"/>
      <c r="S1" s="142" t="s">
        <v>56</v>
      </c>
      <c r="T1" s="46" t="s">
        <v>63</v>
      </c>
      <c r="U1" s="48" t="s">
        <v>67</v>
      </c>
      <c r="V1" s="49" t="s">
        <v>65</v>
      </c>
    </row>
    <row r="2" spans="1:22" x14ac:dyDescent="0.3">
      <c r="A2" s="144"/>
      <c r="B2" s="144"/>
      <c r="C2" s="139"/>
      <c r="D2" s="143"/>
      <c r="E2" s="143"/>
      <c r="F2" s="143"/>
      <c r="G2" s="63" t="s">
        <v>40</v>
      </c>
      <c r="H2" s="63" t="s">
        <v>47</v>
      </c>
      <c r="I2" s="143"/>
      <c r="J2" s="62" t="s">
        <v>55</v>
      </c>
      <c r="K2" s="62" t="s">
        <v>105</v>
      </c>
      <c r="L2" s="62" t="s">
        <v>82</v>
      </c>
      <c r="M2" s="90" t="s">
        <v>83</v>
      </c>
      <c r="N2" s="64" t="s">
        <v>69</v>
      </c>
      <c r="O2" s="63" t="s">
        <v>40</v>
      </c>
      <c r="P2" s="63" t="s">
        <v>41</v>
      </c>
      <c r="Q2" s="63" t="s">
        <v>43</v>
      </c>
      <c r="R2" s="63" t="s">
        <v>44</v>
      </c>
      <c r="S2" s="143"/>
      <c r="T2" s="62" t="s">
        <v>62</v>
      </c>
      <c r="U2" s="65" t="s">
        <v>68</v>
      </c>
      <c r="V2" s="66" t="s">
        <v>66</v>
      </c>
    </row>
    <row r="3" spans="1:22" ht="8.4" customHeight="1" x14ac:dyDescent="0.3">
      <c r="A3" s="144"/>
      <c r="B3" s="144"/>
      <c r="C3" s="139"/>
      <c r="D3" s="57"/>
      <c r="E3" s="58" t="s">
        <v>45</v>
      </c>
      <c r="F3" s="58" t="s">
        <v>45</v>
      </c>
      <c r="G3" s="58"/>
      <c r="H3" s="58" t="s">
        <v>45</v>
      </c>
      <c r="I3" s="58" t="s">
        <v>45</v>
      </c>
      <c r="J3" s="58" t="s">
        <v>45</v>
      </c>
      <c r="K3" s="58" t="s">
        <v>45</v>
      </c>
      <c r="L3" s="58"/>
      <c r="M3" s="58" t="s">
        <v>45</v>
      </c>
      <c r="N3" s="59" t="s">
        <v>45</v>
      </c>
      <c r="O3" s="58"/>
      <c r="P3" s="58" t="s">
        <v>45</v>
      </c>
      <c r="Q3" s="58"/>
      <c r="R3" s="58" t="s">
        <v>45</v>
      </c>
      <c r="S3" s="58" t="s">
        <v>45</v>
      </c>
      <c r="T3" s="58" t="s">
        <v>45</v>
      </c>
      <c r="U3" s="60" t="s">
        <v>45</v>
      </c>
      <c r="V3" s="61" t="s">
        <v>45</v>
      </c>
    </row>
    <row r="4" spans="1:22" ht="10.199999999999999" customHeight="1" thickBot="1" x14ac:dyDescent="0.35">
      <c r="A4" s="145"/>
      <c r="B4" s="146"/>
      <c r="C4" s="140"/>
      <c r="D4" s="52" t="s">
        <v>48</v>
      </c>
      <c r="E4" s="52" t="s">
        <v>49</v>
      </c>
      <c r="F4" s="52" t="s">
        <v>50</v>
      </c>
      <c r="G4" s="53"/>
      <c r="H4" s="52" t="s">
        <v>51</v>
      </c>
      <c r="I4" s="52" t="s">
        <v>52</v>
      </c>
      <c r="J4" s="52" t="s">
        <v>53</v>
      </c>
      <c r="K4" s="52" t="s">
        <v>57</v>
      </c>
      <c r="L4" s="52"/>
      <c r="M4" s="52" t="s">
        <v>58</v>
      </c>
      <c r="N4" s="54" t="s">
        <v>59</v>
      </c>
      <c r="O4" s="53"/>
      <c r="P4" s="52" t="s">
        <v>60</v>
      </c>
      <c r="Q4" s="53"/>
      <c r="R4" s="52" t="s">
        <v>61</v>
      </c>
      <c r="S4" s="52" t="s">
        <v>70</v>
      </c>
      <c r="T4" s="52" t="s">
        <v>71</v>
      </c>
      <c r="U4" s="55" t="s">
        <v>72</v>
      </c>
      <c r="V4" s="56" t="s">
        <v>73</v>
      </c>
    </row>
    <row r="5" spans="1:22" x14ac:dyDescent="0.3">
      <c r="A5" s="67">
        <v>1</v>
      </c>
      <c r="B5" s="73" t="s">
        <v>4</v>
      </c>
      <c r="C5" s="73" t="s">
        <v>75</v>
      </c>
      <c r="D5" s="74">
        <v>26</v>
      </c>
      <c r="E5" s="74">
        <v>69230.769</v>
      </c>
      <c r="F5" s="74">
        <f>+D5*E5</f>
        <v>1799999.9939999999</v>
      </c>
      <c r="G5" s="74"/>
      <c r="H5" s="74">
        <f>+'REKAP KOM-LEM JUL 26'!BN7</f>
        <v>180000</v>
      </c>
      <c r="I5" s="74">
        <f>+'REKAP KOM-LEM JUL 26'!BM7</f>
        <v>617186.25</v>
      </c>
      <c r="J5" s="74">
        <v>0</v>
      </c>
      <c r="K5" s="74">
        <v>0</v>
      </c>
      <c r="L5" s="74"/>
      <c r="M5" s="74">
        <v>0</v>
      </c>
      <c r="N5" s="82">
        <f>SUM(F5:M5)</f>
        <v>2597186.2439999999</v>
      </c>
      <c r="O5" s="74">
        <v>3</v>
      </c>
      <c r="P5" s="74">
        <f>+O5*E5</f>
        <v>207692.307</v>
      </c>
      <c r="Q5" s="74">
        <v>86</v>
      </c>
      <c r="R5" s="74">
        <f>+Q5*1000</f>
        <v>86000</v>
      </c>
      <c r="S5" s="75">
        <v>0</v>
      </c>
      <c r="T5" s="74">
        <v>0</v>
      </c>
      <c r="U5" s="83">
        <f>+P5+R5+S5+T5</f>
        <v>293692.30700000003</v>
      </c>
      <c r="V5" s="85">
        <f>+N5-U5</f>
        <v>2303493.9369999999</v>
      </c>
    </row>
    <row r="6" spans="1:22" x14ac:dyDescent="0.3">
      <c r="A6" s="51"/>
      <c r="B6" s="71"/>
      <c r="C6" s="71"/>
      <c r="D6" s="57"/>
      <c r="E6" s="51"/>
      <c r="F6" s="57">
        <f>+D6*E6</f>
        <v>0</v>
      </c>
      <c r="G6" s="57"/>
      <c r="H6" s="57"/>
      <c r="I6" s="57"/>
      <c r="J6" s="57"/>
      <c r="K6" s="57"/>
      <c r="L6" s="57"/>
      <c r="M6" s="57"/>
      <c r="N6" s="68">
        <f>+F6+H6+I6+J6+K6+M6</f>
        <v>0</v>
      </c>
      <c r="O6" s="57"/>
      <c r="P6" s="57"/>
      <c r="Q6" s="57"/>
      <c r="R6" s="57"/>
      <c r="S6" s="57"/>
      <c r="T6" s="57"/>
      <c r="U6" s="69">
        <f t="shared" ref="U6:U15" si="0">+P6+R6+S6+T6</f>
        <v>0</v>
      </c>
      <c r="V6" s="86">
        <f>+N6-U6</f>
        <v>0</v>
      </c>
    </row>
    <row r="7" spans="1:22" x14ac:dyDescent="0.3">
      <c r="A7" s="51"/>
      <c r="B7" s="50"/>
      <c r="C7" s="71"/>
      <c r="D7" s="57"/>
      <c r="E7" s="51"/>
      <c r="F7" s="57">
        <f t="shared" ref="F7:F14" si="1">+D7*E7</f>
        <v>0</v>
      </c>
      <c r="G7" s="51"/>
      <c r="H7" s="51"/>
      <c r="I7" s="51"/>
      <c r="J7" s="51"/>
      <c r="K7" s="51"/>
      <c r="L7" s="51"/>
      <c r="M7" s="51"/>
      <c r="N7" s="68">
        <f t="shared" ref="N7:N15" si="2">+F7+H7+I7+J7+K7+M7</f>
        <v>0</v>
      </c>
      <c r="O7" s="51"/>
      <c r="P7" s="57"/>
      <c r="Q7" s="51"/>
      <c r="R7" s="57"/>
      <c r="S7" s="51"/>
      <c r="T7" s="51"/>
      <c r="U7" s="69">
        <f t="shared" si="0"/>
        <v>0</v>
      </c>
      <c r="V7" s="86">
        <f t="shared" ref="V7:V15" si="3">+N7-U7</f>
        <v>0</v>
      </c>
    </row>
    <row r="8" spans="1:22" x14ac:dyDescent="0.3">
      <c r="A8" s="51"/>
      <c r="B8" s="50"/>
      <c r="C8" s="71"/>
      <c r="D8" s="57"/>
      <c r="E8" s="51"/>
      <c r="F8" s="57">
        <f t="shared" si="1"/>
        <v>0</v>
      </c>
      <c r="G8" s="51"/>
      <c r="H8" s="51"/>
      <c r="I8" s="51"/>
      <c r="J8" s="51"/>
      <c r="K8" s="51"/>
      <c r="L8" s="51"/>
      <c r="M8" s="51"/>
      <c r="N8" s="68">
        <f t="shared" si="2"/>
        <v>0</v>
      </c>
      <c r="O8" s="51"/>
      <c r="P8" s="57"/>
      <c r="Q8" s="51"/>
      <c r="R8" s="57"/>
      <c r="S8" s="51"/>
      <c r="T8" s="51"/>
      <c r="U8" s="69">
        <f t="shared" si="0"/>
        <v>0</v>
      </c>
      <c r="V8" s="86">
        <f t="shared" si="3"/>
        <v>0</v>
      </c>
    </row>
    <row r="9" spans="1:22" x14ac:dyDescent="0.3">
      <c r="A9" s="51"/>
      <c r="B9" s="50"/>
      <c r="C9" s="71"/>
      <c r="D9" s="57"/>
      <c r="E9" s="51"/>
      <c r="F9" s="57">
        <f t="shared" si="1"/>
        <v>0</v>
      </c>
      <c r="G9" s="51"/>
      <c r="H9" s="51"/>
      <c r="I9" s="51"/>
      <c r="J9" s="51"/>
      <c r="K9" s="51"/>
      <c r="L9" s="51"/>
      <c r="M9" s="51"/>
      <c r="N9" s="68">
        <f t="shared" si="2"/>
        <v>0</v>
      </c>
      <c r="O9" s="51"/>
      <c r="P9" s="57"/>
      <c r="Q9" s="51"/>
      <c r="R9" s="57"/>
      <c r="S9" s="51"/>
      <c r="T9" s="51"/>
      <c r="U9" s="69">
        <f t="shared" si="0"/>
        <v>0</v>
      </c>
      <c r="V9" s="86">
        <f t="shared" si="3"/>
        <v>0</v>
      </c>
    </row>
    <row r="10" spans="1:22" x14ac:dyDescent="0.3">
      <c r="A10" s="51"/>
      <c r="B10" s="50"/>
      <c r="C10" s="71"/>
      <c r="D10" s="57"/>
      <c r="E10" s="51"/>
      <c r="F10" s="57">
        <f t="shared" si="1"/>
        <v>0</v>
      </c>
      <c r="G10" s="51"/>
      <c r="H10" s="51"/>
      <c r="I10" s="51"/>
      <c r="J10" s="51"/>
      <c r="K10" s="51"/>
      <c r="L10" s="51"/>
      <c r="M10" s="51"/>
      <c r="N10" s="68">
        <f t="shared" si="2"/>
        <v>0</v>
      </c>
      <c r="O10" s="51"/>
      <c r="P10" s="57"/>
      <c r="Q10" s="51"/>
      <c r="R10" s="57"/>
      <c r="S10" s="51"/>
      <c r="T10" s="51"/>
      <c r="U10" s="69">
        <f t="shared" si="0"/>
        <v>0</v>
      </c>
      <c r="V10" s="86">
        <f t="shared" si="3"/>
        <v>0</v>
      </c>
    </row>
    <row r="11" spans="1:22" x14ac:dyDescent="0.3">
      <c r="A11" s="51"/>
      <c r="B11" s="50"/>
      <c r="C11" s="71"/>
      <c r="D11" s="57"/>
      <c r="E11" s="51"/>
      <c r="F11" s="57">
        <f t="shared" si="1"/>
        <v>0</v>
      </c>
      <c r="G11" s="51"/>
      <c r="H11" s="51"/>
      <c r="I11" s="51"/>
      <c r="J11" s="51"/>
      <c r="K11" s="51"/>
      <c r="L11" s="51"/>
      <c r="M11" s="51"/>
      <c r="N11" s="68">
        <f t="shared" si="2"/>
        <v>0</v>
      </c>
      <c r="O11" s="51"/>
      <c r="P11" s="57"/>
      <c r="Q11" s="51"/>
      <c r="R11" s="57"/>
      <c r="S11" s="51"/>
      <c r="T11" s="51"/>
      <c r="U11" s="69">
        <f t="shared" si="0"/>
        <v>0</v>
      </c>
      <c r="V11" s="86">
        <f t="shared" si="3"/>
        <v>0</v>
      </c>
    </row>
    <row r="12" spans="1:22" x14ac:dyDescent="0.3">
      <c r="A12" s="51"/>
      <c r="B12" s="70"/>
      <c r="C12" s="81"/>
      <c r="D12" s="57"/>
      <c r="E12" s="51"/>
      <c r="F12" s="57">
        <v>0</v>
      </c>
      <c r="G12" s="51"/>
      <c r="H12" s="51"/>
      <c r="I12" s="51"/>
      <c r="J12" s="51"/>
      <c r="K12" s="51"/>
      <c r="L12" s="51"/>
      <c r="M12" s="51"/>
      <c r="N12" s="68">
        <f>+F12+H12+I12+J12+K12+L12+M12</f>
        <v>0</v>
      </c>
      <c r="O12" s="51"/>
      <c r="P12" s="57"/>
      <c r="Q12" s="51"/>
      <c r="R12" s="57"/>
      <c r="S12" s="51"/>
      <c r="T12" s="51"/>
      <c r="U12" s="69">
        <f t="shared" si="0"/>
        <v>0</v>
      </c>
      <c r="V12" s="86">
        <f t="shared" si="3"/>
        <v>0</v>
      </c>
    </row>
    <row r="13" spans="1:22" x14ac:dyDescent="0.3">
      <c r="A13" s="51"/>
      <c r="B13" s="76"/>
      <c r="C13" s="45"/>
      <c r="D13" s="57"/>
      <c r="E13" s="77"/>
      <c r="F13" s="57">
        <f t="shared" si="1"/>
        <v>0</v>
      </c>
      <c r="G13" s="77"/>
      <c r="H13" s="77"/>
      <c r="I13" s="77"/>
      <c r="J13" s="77"/>
      <c r="K13" s="77"/>
      <c r="L13" s="77"/>
      <c r="M13" s="77"/>
      <c r="N13" s="68">
        <f t="shared" si="2"/>
        <v>0</v>
      </c>
      <c r="O13" s="77"/>
      <c r="P13" s="57"/>
      <c r="Q13" s="77"/>
      <c r="R13" s="57"/>
      <c r="S13" s="77"/>
      <c r="T13" s="77"/>
      <c r="U13" s="69">
        <f t="shared" si="0"/>
        <v>0</v>
      </c>
      <c r="V13" s="86">
        <f t="shared" si="3"/>
        <v>0</v>
      </c>
    </row>
    <row r="14" spans="1:22" x14ac:dyDescent="0.3">
      <c r="A14" s="51"/>
      <c r="B14" s="70"/>
      <c r="C14" s="81"/>
      <c r="D14" s="57"/>
      <c r="E14" s="51"/>
      <c r="F14" s="57">
        <f t="shared" si="1"/>
        <v>0</v>
      </c>
      <c r="G14" s="51"/>
      <c r="H14" s="51"/>
      <c r="I14" s="51">
        <v>0</v>
      </c>
      <c r="J14" s="51"/>
      <c r="K14" s="51">
        <v>0</v>
      </c>
      <c r="L14" s="51"/>
      <c r="M14" s="51">
        <v>0</v>
      </c>
      <c r="N14" s="68">
        <f t="shared" si="2"/>
        <v>0</v>
      </c>
      <c r="O14" s="51">
        <v>0</v>
      </c>
      <c r="P14" s="57">
        <f t="shared" ref="P14:P15" si="4">+E14*O14</f>
        <v>0</v>
      </c>
      <c r="Q14" s="51"/>
      <c r="R14" s="57">
        <f t="shared" ref="R14:R15" si="5">+Q14*1000</f>
        <v>0</v>
      </c>
      <c r="S14" s="51"/>
      <c r="T14" s="51"/>
      <c r="U14" s="69">
        <f t="shared" si="0"/>
        <v>0</v>
      </c>
      <c r="V14" s="86">
        <f t="shared" si="3"/>
        <v>0</v>
      </c>
    </row>
    <row r="15" spans="1:22" x14ac:dyDescent="0.3">
      <c r="A15" s="77"/>
      <c r="B15" s="77"/>
      <c r="C15" s="77"/>
      <c r="D15" s="77"/>
      <c r="E15" s="77"/>
      <c r="F15" s="77"/>
      <c r="G15" s="77"/>
      <c r="H15" s="77">
        <f>+G15*12000</f>
        <v>0</v>
      </c>
      <c r="I15" s="77">
        <v>0</v>
      </c>
      <c r="J15" s="77">
        <v>0</v>
      </c>
      <c r="K15" s="77">
        <v>0</v>
      </c>
      <c r="L15" s="77"/>
      <c r="M15" s="77"/>
      <c r="N15" s="68">
        <f t="shared" si="2"/>
        <v>0</v>
      </c>
      <c r="O15" s="77"/>
      <c r="P15" s="57">
        <f t="shared" si="4"/>
        <v>0</v>
      </c>
      <c r="Q15" s="77"/>
      <c r="R15" s="57">
        <f t="shared" si="5"/>
        <v>0</v>
      </c>
      <c r="S15" s="77"/>
      <c r="T15" s="77"/>
      <c r="U15" s="72">
        <f t="shared" si="0"/>
        <v>0</v>
      </c>
      <c r="V15" s="86">
        <f t="shared" si="3"/>
        <v>0</v>
      </c>
    </row>
    <row r="16" spans="1:22" x14ac:dyDescent="0.3">
      <c r="A16" s="136" t="s">
        <v>3</v>
      </c>
      <c r="B16" s="137"/>
      <c r="C16" s="80"/>
      <c r="D16" s="4"/>
      <c r="E16" s="4"/>
      <c r="F16" s="4">
        <f>SUM(F5:F15)</f>
        <v>1799999.9939999999</v>
      </c>
      <c r="G16" s="4">
        <f t="shared" ref="G16:U16" si="6">SUM(G5:G15)</f>
        <v>0</v>
      </c>
      <c r="H16" s="4">
        <f t="shared" si="6"/>
        <v>180000</v>
      </c>
      <c r="I16" s="4">
        <f t="shared" si="6"/>
        <v>617186.25</v>
      </c>
      <c r="J16" s="4">
        <f t="shared" si="6"/>
        <v>0</v>
      </c>
      <c r="K16" s="4">
        <f t="shared" si="6"/>
        <v>0</v>
      </c>
      <c r="L16" s="4">
        <f t="shared" si="6"/>
        <v>0</v>
      </c>
      <c r="M16" s="4">
        <f t="shared" si="6"/>
        <v>0</v>
      </c>
      <c r="N16" s="78">
        <f t="shared" si="6"/>
        <v>2597186.2439999999</v>
      </c>
      <c r="O16" s="4">
        <f t="shared" si="6"/>
        <v>3</v>
      </c>
      <c r="P16" s="4">
        <f t="shared" si="6"/>
        <v>207692.307</v>
      </c>
      <c r="Q16" s="4">
        <f t="shared" si="6"/>
        <v>86</v>
      </c>
      <c r="R16" s="4">
        <f t="shared" si="6"/>
        <v>86000</v>
      </c>
      <c r="S16" s="4">
        <f t="shared" si="6"/>
        <v>0</v>
      </c>
      <c r="T16" s="4">
        <f t="shared" si="6"/>
        <v>0</v>
      </c>
      <c r="U16" s="79">
        <f t="shared" si="6"/>
        <v>293692.30700000003</v>
      </c>
      <c r="V16" s="84">
        <f>SUM(V5:V15)</f>
        <v>2303493.9369999999</v>
      </c>
    </row>
  </sheetData>
  <mergeCells count="14">
    <mergeCell ref="A16:B16"/>
    <mergeCell ref="C1:C4"/>
    <mergeCell ref="Q1:R1"/>
    <mergeCell ref="J1:K1"/>
    <mergeCell ref="S1:S2"/>
    <mergeCell ref="A1:A4"/>
    <mergeCell ref="B1:B4"/>
    <mergeCell ref="F1:F2"/>
    <mergeCell ref="O1:P1"/>
    <mergeCell ref="I1:I2"/>
    <mergeCell ref="G1:H1"/>
    <mergeCell ref="E1:E2"/>
    <mergeCell ref="D1:D2"/>
    <mergeCell ref="L1:M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57B2-43BF-4B65-8C9C-C55BFB348919}">
  <dimension ref="B1:O117"/>
  <sheetViews>
    <sheetView zoomScale="103" workbookViewId="0">
      <selection activeCell="O43" sqref="O43"/>
    </sheetView>
  </sheetViews>
  <sheetFormatPr defaultRowHeight="14.4" x14ac:dyDescent="0.3"/>
  <cols>
    <col min="1" max="1" width="1.88671875" customWidth="1"/>
    <col min="2" max="2" width="1.5546875" customWidth="1"/>
    <col min="3" max="3" width="21.44140625" customWidth="1"/>
    <col min="4" max="4" width="1.5546875" customWidth="1"/>
    <col min="5" max="5" width="5.6640625" customWidth="1"/>
    <col min="6" max="6" width="9.21875" customWidth="1"/>
    <col min="7" max="7" width="13" customWidth="1"/>
    <col min="8" max="8" width="0.88671875" customWidth="1"/>
    <col min="9" max="9" width="7.6640625" customWidth="1"/>
    <col min="10" max="10" width="9.33203125" customWidth="1"/>
    <col min="11" max="11" width="1.44140625" customWidth="1"/>
    <col min="12" max="12" width="2.44140625" customWidth="1"/>
    <col min="13" max="14" width="10.44140625" bestFit="1" customWidth="1"/>
  </cols>
  <sheetData>
    <row r="1" spans="2:13" ht="6" customHeight="1" thickBot="1" x14ac:dyDescent="0.35">
      <c r="C1" s="1"/>
      <c r="D1" s="1"/>
      <c r="E1" s="1"/>
      <c r="F1" s="1"/>
      <c r="G1" s="1"/>
      <c r="H1" s="1"/>
      <c r="I1" s="1"/>
      <c r="J1" s="1"/>
    </row>
    <row r="2" spans="2:13" ht="6" customHeight="1" thickTop="1" x14ac:dyDescent="0.3">
      <c r="B2" s="34"/>
      <c r="C2" s="42"/>
      <c r="D2" s="42"/>
      <c r="E2" s="42"/>
      <c r="F2" s="42"/>
      <c r="G2" s="42"/>
      <c r="H2" s="42"/>
      <c r="I2" s="42"/>
      <c r="J2" s="42"/>
      <c r="K2" s="35"/>
    </row>
    <row r="3" spans="2:13" ht="21" x14ac:dyDescent="0.3">
      <c r="B3" s="36"/>
      <c r="C3" s="157" t="s">
        <v>16</v>
      </c>
      <c r="D3" s="157"/>
      <c r="E3" s="157"/>
      <c r="F3" s="157"/>
      <c r="G3" s="157"/>
      <c r="H3" s="157"/>
      <c r="I3" s="157"/>
      <c r="J3" s="157"/>
      <c r="K3" s="37"/>
    </row>
    <row r="4" spans="2:13" ht="18" x14ac:dyDescent="0.3">
      <c r="B4" s="36"/>
      <c r="C4" s="158" t="s">
        <v>15</v>
      </c>
      <c r="D4" s="158"/>
      <c r="E4" s="158"/>
      <c r="F4" s="158"/>
      <c r="G4" s="158"/>
      <c r="H4" s="158"/>
      <c r="I4" s="158"/>
      <c r="J4" s="158"/>
      <c r="K4" s="37"/>
    </row>
    <row r="5" spans="2:13" ht="6" customHeight="1" x14ac:dyDescent="0.3">
      <c r="B5" s="36"/>
      <c r="C5" s="38"/>
      <c r="D5" s="38"/>
      <c r="E5" s="38"/>
      <c r="F5" s="1"/>
      <c r="G5" s="1"/>
      <c r="H5" s="1"/>
      <c r="I5" s="1"/>
      <c r="J5" s="1"/>
      <c r="K5" s="37"/>
    </row>
    <row r="6" spans="2:13" x14ac:dyDescent="0.3">
      <c r="B6" s="36"/>
      <c r="C6" s="88" t="s">
        <v>18</v>
      </c>
      <c r="D6" s="88" t="s">
        <v>17</v>
      </c>
      <c r="E6" s="177" t="s">
        <v>29</v>
      </c>
      <c r="F6" s="177"/>
      <c r="G6" s="88"/>
      <c r="H6" s="88"/>
      <c r="I6" s="88"/>
      <c r="J6" s="88"/>
      <c r="K6" s="37"/>
    </row>
    <row r="7" spans="2:13" x14ac:dyDescent="0.3">
      <c r="B7" s="36"/>
      <c r="C7" s="88" t="s">
        <v>19</v>
      </c>
      <c r="D7" s="88" t="s">
        <v>17</v>
      </c>
      <c r="E7" s="159" t="s">
        <v>21</v>
      </c>
      <c r="F7" s="159"/>
      <c r="G7" s="88" t="s">
        <v>38</v>
      </c>
      <c r="H7" s="105" t="s">
        <v>17</v>
      </c>
      <c r="I7" s="106">
        <f>+'REKAP PENDAPATAN JUL 26'!D5</f>
        <v>26</v>
      </c>
      <c r="J7" s="107" t="s">
        <v>34</v>
      </c>
      <c r="K7" s="37"/>
    </row>
    <row r="8" spans="2:13" x14ac:dyDescent="0.3">
      <c r="B8" s="36"/>
      <c r="C8" s="88" t="s">
        <v>20</v>
      </c>
      <c r="D8" s="88" t="s">
        <v>17</v>
      </c>
      <c r="E8" s="159" t="s">
        <v>76</v>
      </c>
      <c r="F8" s="159"/>
      <c r="G8" s="88" t="s">
        <v>91</v>
      </c>
      <c r="H8" s="105" t="s">
        <v>17</v>
      </c>
      <c r="I8" s="106">
        <f>+'REKAP PENDAPATAN JUL 26'!O5</f>
        <v>3</v>
      </c>
      <c r="J8" s="107" t="s">
        <v>34</v>
      </c>
      <c r="K8" s="37"/>
    </row>
    <row r="9" spans="2:13" x14ac:dyDescent="0.3">
      <c r="B9" s="36"/>
      <c r="C9" s="88" t="s">
        <v>77</v>
      </c>
      <c r="D9" s="88" t="s">
        <v>17</v>
      </c>
      <c r="E9" s="159" t="s">
        <v>78</v>
      </c>
      <c r="F9" s="159"/>
      <c r="G9" s="88" t="s">
        <v>32</v>
      </c>
      <c r="H9" s="105" t="s">
        <v>17</v>
      </c>
      <c r="I9" s="108">
        <f>+'REKAP PENDAPATAN JUL 26'!Q5</f>
        <v>86</v>
      </c>
      <c r="J9" s="107" t="s">
        <v>35</v>
      </c>
      <c r="K9" s="37"/>
    </row>
    <row r="10" spans="2:13" ht="7.2" customHeight="1" thickBot="1" x14ac:dyDescent="0.35">
      <c r="B10" s="36"/>
      <c r="C10" s="109"/>
      <c r="D10" s="109"/>
      <c r="E10" s="109"/>
      <c r="F10" s="109"/>
      <c r="G10" s="109"/>
      <c r="H10" s="109"/>
      <c r="I10" s="109"/>
      <c r="J10" s="109"/>
      <c r="K10" s="37"/>
    </row>
    <row r="11" spans="2:13" ht="26.4" customHeight="1" thickBot="1" x14ac:dyDescent="0.35">
      <c r="B11" s="36"/>
      <c r="C11" s="160" t="s">
        <v>8</v>
      </c>
      <c r="D11" s="161"/>
      <c r="E11" s="114" t="s">
        <v>95</v>
      </c>
      <c r="F11" s="102" t="s">
        <v>96</v>
      </c>
      <c r="G11" s="102" t="s">
        <v>9</v>
      </c>
      <c r="H11" s="174" t="s">
        <v>25</v>
      </c>
      <c r="I11" s="175"/>
      <c r="J11" s="176"/>
      <c r="K11" s="37"/>
    </row>
    <row r="12" spans="2:13" ht="16.2" customHeight="1" thickBot="1" x14ac:dyDescent="0.35">
      <c r="B12" s="36"/>
      <c r="C12" s="149" t="s">
        <v>10</v>
      </c>
      <c r="D12" s="150"/>
      <c r="E12" s="96">
        <f>+I7</f>
        <v>26</v>
      </c>
      <c r="F12" s="97">
        <f>+'REKAP PENDAPATAN JUL 26'!E5</f>
        <v>69230.769</v>
      </c>
      <c r="G12" s="89">
        <f>+'REKAP PENDAPATAN JUL 26'!F5</f>
        <v>1799999.9939999999</v>
      </c>
      <c r="H12" s="151"/>
      <c r="I12" s="152"/>
      <c r="J12" s="153"/>
      <c r="K12" s="37"/>
      <c r="M12" s="26"/>
    </row>
    <row r="13" spans="2:13" ht="15" thickBot="1" x14ac:dyDescent="0.35">
      <c r="B13" s="36"/>
      <c r="C13" s="149" t="s">
        <v>11</v>
      </c>
      <c r="D13" s="150"/>
      <c r="E13" s="98"/>
      <c r="F13" s="99"/>
      <c r="G13" s="89">
        <f>+'REKAP PENDAPATAN JUL 26'!I5</f>
        <v>617186.25</v>
      </c>
      <c r="H13" s="151"/>
      <c r="I13" s="152"/>
      <c r="J13" s="153"/>
      <c r="K13" s="37"/>
      <c r="M13" s="26"/>
    </row>
    <row r="14" spans="2:13" ht="15" thickBot="1" x14ac:dyDescent="0.35">
      <c r="B14" s="36"/>
      <c r="C14" s="149" t="s">
        <v>22</v>
      </c>
      <c r="D14" s="150"/>
      <c r="E14" s="98">
        <v>12</v>
      </c>
      <c r="F14" s="99">
        <v>15000</v>
      </c>
      <c r="G14" s="89">
        <f>+'REKAP PENDAPATAN JUL 26'!H5</f>
        <v>180000</v>
      </c>
      <c r="H14" s="151"/>
      <c r="I14" s="152"/>
      <c r="J14" s="153"/>
      <c r="K14" s="37"/>
      <c r="M14" s="44"/>
    </row>
    <row r="15" spans="2:13" ht="16.2" customHeight="1" thickBot="1" x14ac:dyDescent="0.35">
      <c r="B15" s="36"/>
      <c r="C15" s="149" t="s">
        <v>23</v>
      </c>
      <c r="D15" s="150"/>
      <c r="E15" s="98"/>
      <c r="F15" s="100"/>
      <c r="G15" s="89">
        <f>+'REKAP PENDAPATAN JUL 26'!M5</f>
        <v>0</v>
      </c>
      <c r="H15" s="151"/>
      <c r="I15" s="152"/>
      <c r="J15" s="153"/>
      <c r="K15" s="37"/>
    </row>
    <row r="16" spans="2:13" ht="15" thickBot="1" x14ac:dyDescent="0.35">
      <c r="B16" s="36"/>
      <c r="C16" s="149" t="s">
        <v>24</v>
      </c>
      <c r="D16" s="150"/>
      <c r="E16" s="98"/>
      <c r="F16" s="100"/>
      <c r="G16" s="89">
        <f>+'REKAP PENDAPATAN JUL 26'!K5</f>
        <v>0</v>
      </c>
      <c r="H16" s="151"/>
      <c r="I16" s="152"/>
      <c r="J16" s="153"/>
      <c r="K16" s="37"/>
    </row>
    <row r="17" spans="2:14" ht="15" thickBot="1" x14ac:dyDescent="0.35">
      <c r="B17" s="36"/>
      <c r="C17" s="149" t="s">
        <v>79</v>
      </c>
      <c r="D17" s="150"/>
      <c r="E17" s="98"/>
      <c r="F17" s="100"/>
      <c r="G17" s="89">
        <v>18000</v>
      </c>
      <c r="H17" s="151"/>
      <c r="I17" s="152"/>
      <c r="J17" s="153"/>
      <c r="K17" s="37"/>
      <c r="M17" s="26"/>
    </row>
    <row r="18" spans="2:14" ht="15" thickBot="1" x14ac:dyDescent="0.35">
      <c r="B18" s="36"/>
      <c r="C18" s="160" t="s">
        <v>92</v>
      </c>
      <c r="D18" s="163"/>
      <c r="E18" s="163"/>
      <c r="F18" s="163"/>
      <c r="G18" s="113">
        <f>+G12+G13+G14+G15+G16+G17</f>
        <v>2615186.2439999999</v>
      </c>
      <c r="H18" s="151"/>
      <c r="I18" s="152"/>
      <c r="J18" s="153"/>
      <c r="K18" s="37"/>
      <c r="M18" s="26"/>
    </row>
    <row r="19" spans="2:14" ht="18" customHeight="1" thickBot="1" x14ac:dyDescent="0.35">
      <c r="B19" s="36"/>
      <c r="C19" s="164" t="s">
        <v>12</v>
      </c>
      <c r="D19" s="165"/>
      <c r="E19" s="96">
        <f>+I8</f>
        <v>3</v>
      </c>
      <c r="F19" s="97">
        <f>+F12</f>
        <v>69230.769</v>
      </c>
      <c r="G19" s="89">
        <f>+E19*F19</f>
        <v>207692.307</v>
      </c>
      <c r="H19" s="151" t="s">
        <v>94</v>
      </c>
      <c r="I19" s="152"/>
      <c r="J19" s="153"/>
      <c r="K19" s="37"/>
      <c r="M19" s="26"/>
    </row>
    <row r="20" spans="2:14" ht="19.2" customHeight="1" thickBot="1" x14ac:dyDescent="0.35">
      <c r="B20" s="36"/>
      <c r="C20" s="166"/>
      <c r="D20" s="167"/>
      <c r="E20" s="96">
        <f>+I9</f>
        <v>86</v>
      </c>
      <c r="F20" s="97">
        <v>1000</v>
      </c>
      <c r="G20" s="89">
        <f>+E20*F20</f>
        <v>86000</v>
      </c>
      <c r="H20" s="168" t="s">
        <v>80</v>
      </c>
      <c r="I20" s="169"/>
      <c r="J20" s="170"/>
      <c r="K20" s="37"/>
      <c r="M20" s="26"/>
    </row>
    <row r="21" spans="2:14" ht="14.4" customHeight="1" thickBot="1" x14ac:dyDescent="0.35">
      <c r="B21" s="36"/>
      <c r="C21" s="160" t="s">
        <v>93</v>
      </c>
      <c r="D21" s="163"/>
      <c r="E21" s="163"/>
      <c r="F21" s="161"/>
      <c r="G21" s="101">
        <f>SUM(G19:G20)</f>
        <v>293692.30700000003</v>
      </c>
      <c r="H21" s="151"/>
      <c r="I21" s="152"/>
      <c r="J21" s="153"/>
      <c r="K21" s="37"/>
      <c r="M21" s="26"/>
    </row>
    <row r="22" spans="2:14" ht="16.2" customHeight="1" thickBot="1" x14ac:dyDescent="0.35">
      <c r="B22" s="36"/>
      <c r="C22" s="160" t="s">
        <v>13</v>
      </c>
      <c r="D22" s="163"/>
      <c r="E22" s="163"/>
      <c r="F22" s="163"/>
      <c r="G22" s="112">
        <f>+G18-G21</f>
        <v>2321493.9369999999</v>
      </c>
      <c r="H22" s="171"/>
      <c r="I22" s="172"/>
      <c r="J22" s="173"/>
      <c r="K22" s="37"/>
      <c r="M22" s="26"/>
      <c r="N22" s="26"/>
    </row>
    <row r="23" spans="2:14" ht="7.8" customHeight="1" x14ac:dyDescent="0.3">
      <c r="B23" s="36"/>
      <c r="C23" s="109"/>
      <c r="D23" s="109"/>
      <c r="E23" s="109"/>
      <c r="F23" s="109"/>
      <c r="G23" s="109"/>
      <c r="H23" s="109"/>
      <c r="I23" s="109"/>
      <c r="J23" s="109"/>
      <c r="K23" s="37"/>
    </row>
    <row r="24" spans="2:14" x14ac:dyDescent="0.3">
      <c r="B24" s="36"/>
      <c r="C24" s="109" t="s">
        <v>27</v>
      </c>
      <c r="D24" s="109"/>
      <c r="E24" s="109"/>
      <c r="F24" s="109"/>
      <c r="G24" s="109"/>
      <c r="H24" s="109"/>
      <c r="I24" s="109"/>
      <c r="J24" s="109"/>
      <c r="K24" s="37"/>
      <c r="N24" s="44"/>
    </row>
    <row r="25" spans="2:14" x14ac:dyDescent="0.3">
      <c r="B25" s="36"/>
      <c r="C25" s="109" t="s">
        <v>26</v>
      </c>
      <c r="D25" s="109" t="s">
        <v>17</v>
      </c>
      <c r="E25" s="109"/>
      <c r="F25" s="109"/>
      <c r="G25" s="109"/>
      <c r="H25" s="109"/>
      <c r="I25" s="109" t="s">
        <v>14</v>
      </c>
      <c r="J25" s="109"/>
      <c r="K25" s="37"/>
      <c r="N25" s="29"/>
    </row>
    <row r="26" spans="2:14" x14ac:dyDescent="0.3">
      <c r="B26" s="36"/>
      <c r="C26" s="109"/>
      <c r="D26" s="109"/>
      <c r="E26" s="109"/>
      <c r="F26" s="109"/>
      <c r="G26" s="109"/>
      <c r="H26" s="109"/>
      <c r="I26" s="109"/>
      <c r="J26" s="109"/>
      <c r="K26" s="37"/>
    </row>
    <row r="27" spans="2:14" x14ac:dyDescent="0.3">
      <c r="B27" s="36"/>
      <c r="C27" s="109"/>
      <c r="D27" s="109"/>
      <c r="E27" s="109"/>
      <c r="F27" s="109"/>
      <c r="G27" s="109"/>
      <c r="H27" s="109"/>
      <c r="I27" s="109"/>
      <c r="J27" s="109"/>
      <c r="K27" s="37"/>
    </row>
    <row r="28" spans="2:14" x14ac:dyDescent="0.3">
      <c r="B28" s="36"/>
      <c r="C28" s="110" t="str">
        <f>+E6</f>
        <v>AGUSTINA (VINA)</v>
      </c>
      <c r="D28" s="109"/>
      <c r="E28" s="109"/>
      <c r="F28" s="109"/>
      <c r="G28" s="109"/>
      <c r="H28" s="109"/>
      <c r="I28" s="162" t="s">
        <v>33</v>
      </c>
      <c r="J28" s="162"/>
      <c r="K28" s="37"/>
    </row>
    <row r="29" spans="2:14" ht="4.8" customHeight="1" thickBot="1" x14ac:dyDescent="0.35">
      <c r="B29" s="40"/>
      <c r="C29" s="111"/>
      <c r="D29" s="111"/>
      <c r="E29" s="111"/>
      <c r="F29" s="111"/>
      <c r="G29" s="111"/>
      <c r="H29" s="111"/>
      <c r="I29" s="111"/>
      <c r="J29" s="111"/>
      <c r="K29" s="41"/>
    </row>
    <row r="30" spans="2:14" ht="13.2" customHeight="1" thickTop="1" x14ac:dyDescent="0.3">
      <c r="C30" s="109"/>
      <c r="D30" s="109"/>
      <c r="E30" s="109"/>
      <c r="F30" s="109"/>
      <c r="G30" s="109"/>
      <c r="H30" s="109"/>
      <c r="I30" s="109"/>
      <c r="J30" s="109"/>
    </row>
    <row r="31" spans="2:14" ht="15" thickBot="1" x14ac:dyDescent="0.35"/>
    <row r="32" spans="2:14" ht="4.8" customHeight="1" thickTop="1" x14ac:dyDescent="0.3">
      <c r="B32" s="34"/>
      <c r="C32" s="42"/>
      <c r="D32" s="42"/>
      <c r="E32" s="42"/>
      <c r="F32" s="42"/>
      <c r="G32" s="42"/>
      <c r="H32" s="42"/>
      <c r="I32" s="42"/>
      <c r="J32" s="42"/>
      <c r="K32" s="35"/>
    </row>
    <row r="33" spans="2:15" ht="21" x14ac:dyDescent="0.3">
      <c r="B33" s="36"/>
      <c r="C33" s="157" t="s">
        <v>16</v>
      </c>
      <c r="D33" s="157"/>
      <c r="E33" s="157"/>
      <c r="F33" s="157"/>
      <c r="G33" s="157"/>
      <c r="H33" s="157"/>
      <c r="I33" s="157"/>
      <c r="J33" s="157"/>
      <c r="K33" s="37"/>
    </row>
    <row r="34" spans="2:15" ht="18" x14ac:dyDescent="0.3">
      <c r="B34" s="36"/>
      <c r="C34" s="158" t="s">
        <v>15</v>
      </c>
      <c r="D34" s="158"/>
      <c r="E34" s="158"/>
      <c r="F34" s="158"/>
      <c r="G34" s="158"/>
      <c r="H34" s="158"/>
      <c r="I34" s="158"/>
      <c r="J34" s="158"/>
      <c r="K34" s="37"/>
    </row>
    <row r="35" spans="2:15" ht="6.6" customHeight="1" x14ac:dyDescent="0.3">
      <c r="B35" s="36"/>
      <c r="C35" s="38"/>
      <c r="D35" s="38"/>
      <c r="E35" s="38"/>
      <c r="F35" s="1"/>
      <c r="G35" s="1"/>
      <c r="H35" s="1"/>
      <c r="I35" s="1"/>
      <c r="J35" s="1"/>
      <c r="K35" s="37"/>
    </row>
    <row r="36" spans="2:15" x14ac:dyDescent="0.3">
      <c r="B36" s="36"/>
      <c r="C36" s="88" t="s">
        <v>18</v>
      </c>
      <c r="D36" s="88" t="s">
        <v>17</v>
      </c>
      <c r="E36" s="39" t="s">
        <v>30</v>
      </c>
      <c r="F36" s="103"/>
      <c r="G36" s="104"/>
      <c r="H36" s="88"/>
      <c r="I36" s="88"/>
      <c r="J36" s="88"/>
      <c r="K36" s="37"/>
    </row>
    <row r="37" spans="2:15" x14ac:dyDescent="0.3">
      <c r="B37" s="36"/>
      <c r="C37" s="88" t="s">
        <v>19</v>
      </c>
      <c r="D37" s="88" t="s">
        <v>17</v>
      </c>
      <c r="E37" s="159" t="s">
        <v>84</v>
      </c>
      <c r="F37" s="159"/>
      <c r="G37" s="88" t="s">
        <v>38</v>
      </c>
      <c r="H37" s="105" t="s">
        <v>17</v>
      </c>
      <c r="I37" s="106">
        <f>+'REKAP PENDAPATAN JUL 26'!D12</f>
        <v>0</v>
      </c>
      <c r="J37" s="107" t="s">
        <v>34</v>
      </c>
      <c r="K37" s="37"/>
    </row>
    <row r="38" spans="2:15" x14ac:dyDescent="0.3">
      <c r="B38" s="36"/>
      <c r="C38" s="88" t="s">
        <v>20</v>
      </c>
      <c r="D38" s="88" t="s">
        <v>17</v>
      </c>
      <c r="E38" s="159" t="s">
        <v>76</v>
      </c>
      <c r="F38" s="159"/>
      <c r="G38" s="88" t="s">
        <v>91</v>
      </c>
      <c r="H38" s="105" t="s">
        <v>17</v>
      </c>
      <c r="I38" s="106">
        <f>+'REKAP PENDAPATAN JUL 26'!O223</f>
        <v>0</v>
      </c>
      <c r="J38" s="107" t="s">
        <v>34</v>
      </c>
      <c r="K38" s="37"/>
    </row>
    <row r="39" spans="2:15" x14ac:dyDescent="0.3">
      <c r="B39" s="36"/>
      <c r="C39" s="88" t="s">
        <v>77</v>
      </c>
      <c r="D39" s="88" t="s">
        <v>17</v>
      </c>
      <c r="E39" s="159" t="s">
        <v>78</v>
      </c>
      <c r="F39" s="159"/>
      <c r="G39" s="88" t="s">
        <v>32</v>
      </c>
      <c r="H39" s="105" t="s">
        <v>17</v>
      </c>
      <c r="I39" s="108">
        <f>+'REKAP PENDAPATAN JUL 26'!Q76</f>
        <v>0</v>
      </c>
      <c r="J39" s="107" t="s">
        <v>35</v>
      </c>
      <c r="K39" s="37"/>
    </row>
    <row r="40" spans="2:15" ht="6" customHeight="1" thickBot="1" x14ac:dyDescent="0.35">
      <c r="B40" s="36"/>
      <c r="C40" s="109"/>
      <c r="D40" s="109"/>
      <c r="E40" s="109"/>
      <c r="F40" s="109"/>
      <c r="G40" s="109"/>
      <c r="H40" s="109"/>
      <c r="I40" s="109"/>
      <c r="J40" s="109"/>
      <c r="K40" s="37"/>
    </row>
    <row r="41" spans="2:15" ht="23.4" customHeight="1" thickBot="1" x14ac:dyDescent="0.35">
      <c r="B41" s="36"/>
      <c r="C41" s="160" t="s">
        <v>8</v>
      </c>
      <c r="D41" s="161"/>
      <c r="E41" s="114" t="s">
        <v>95</v>
      </c>
      <c r="F41" s="102" t="s">
        <v>96</v>
      </c>
      <c r="G41" s="102" t="s">
        <v>9</v>
      </c>
      <c r="H41" s="154" t="s">
        <v>25</v>
      </c>
      <c r="I41" s="155"/>
      <c r="J41" s="156"/>
      <c r="K41" s="37"/>
    </row>
    <row r="42" spans="2:15" ht="15" thickBot="1" x14ac:dyDescent="0.35">
      <c r="B42" s="36"/>
      <c r="C42" s="149" t="s">
        <v>10</v>
      </c>
      <c r="D42" s="150"/>
      <c r="E42" s="96">
        <f>+I37</f>
        <v>0</v>
      </c>
      <c r="F42" s="97">
        <f>+'REKAP PENDAPATAN JUL 26'!E12</f>
        <v>0</v>
      </c>
      <c r="G42" s="89">
        <f>+E42*F42-2</f>
        <v>-2</v>
      </c>
      <c r="H42" s="151"/>
      <c r="I42" s="152"/>
      <c r="J42" s="153"/>
      <c r="K42" s="37"/>
      <c r="M42" s="26"/>
    </row>
    <row r="43" spans="2:15" ht="19.2" customHeight="1" thickBot="1" x14ac:dyDescent="0.35">
      <c r="B43" s="36"/>
      <c r="C43" s="149" t="s">
        <v>22</v>
      </c>
      <c r="D43" s="150"/>
      <c r="E43" s="98">
        <v>22</v>
      </c>
      <c r="F43" s="99">
        <v>15000</v>
      </c>
      <c r="G43" s="89">
        <f>+E43*F43</f>
        <v>330000</v>
      </c>
      <c r="H43" s="151"/>
      <c r="I43" s="152"/>
      <c r="J43" s="153"/>
      <c r="K43" s="37"/>
      <c r="M43" s="26"/>
      <c r="O43" s="39"/>
    </row>
    <row r="44" spans="2:15" ht="15" thickBot="1" x14ac:dyDescent="0.35">
      <c r="B44" s="36"/>
      <c r="C44" s="149" t="s">
        <v>23</v>
      </c>
      <c r="D44" s="150"/>
      <c r="E44" s="98"/>
      <c r="F44" s="100"/>
      <c r="G44" s="89">
        <f>+'REKAP PENDAPATAN JUL 26'!L12+'REKAP PENDAPATAN JUL 26'!M12</f>
        <v>0</v>
      </c>
      <c r="H44" s="151" t="s">
        <v>97</v>
      </c>
      <c r="I44" s="152"/>
      <c r="J44" s="153"/>
      <c r="K44" s="37"/>
    </row>
    <row r="45" spans="2:15" ht="16.2" customHeight="1" thickBot="1" x14ac:dyDescent="0.35">
      <c r="B45" s="36"/>
      <c r="C45" s="149" t="s">
        <v>24</v>
      </c>
      <c r="D45" s="150"/>
      <c r="E45" s="98"/>
      <c r="F45" s="100"/>
      <c r="G45" s="89">
        <f>+'REKAP PENDAPATAN JUL 26'!K195</f>
        <v>0</v>
      </c>
      <c r="H45" s="151"/>
      <c r="I45" s="152"/>
      <c r="J45" s="153"/>
      <c r="K45" s="37"/>
    </row>
    <row r="46" spans="2:15" ht="15" thickBot="1" x14ac:dyDescent="0.35">
      <c r="B46" s="36"/>
      <c r="C46" s="149" t="s">
        <v>79</v>
      </c>
      <c r="D46" s="150"/>
      <c r="E46" s="98"/>
      <c r="F46" s="100"/>
      <c r="G46" s="89">
        <v>0</v>
      </c>
      <c r="H46" s="151"/>
      <c r="I46" s="152"/>
      <c r="J46" s="153"/>
      <c r="K46" s="37"/>
      <c r="M46" s="26"/>
    </row>
    <row r="47" spans="2:15" ht="15" customHeight="1" thickBot="1" x14ac:dyDescent="0.35">
      <c r="B47" s="36"/>
      <c r="C47" s="160" t="s">
        <v>92</v>
      </c>
      <c r="D47" s="163"/>
      <c r="E47" s="163"/>
      <c r="F47" s="161"/>
      <c r="G47" s="113">
        <f>SUM(G42:G46)</f>
        <v>329998</v>
      </c>
      <c r="H47" s="151"/>
      <c r="I47" s="152"/>
      <c r="J47" s="153"/>
      <c r="K47" s="37"/>
      <c r="M47" s="26"/>
    </row>
    <row r="48" spans="2:15" ht="15" thickBot="1" x14ac:dyDescent="0.35">
      <c r="B48" s="36"/>
      <c r="C48" s="164" t="s">
        <v>12</v>
      </c>
      <c r="D48" s="165"/>
      <c r="E48" s="96">
        <f>+I38</f>
        <v>0</v>
      </c>
      <c r="F48" s="97">
        <v>0</v>
      </c>
      <c r="G48" s="89">
        <f>+E48*F48</f>
        <v>0</v>
      </c>
      <c r="H48" s="151"/>
      <c r="I48" s="152"/>
      <c r="J48" s="153"/>
      <c r="K48" s="37"/>
    </row>
    <row r="49" spans="2:13" ht="15" thickBot="1" x14ac:dyDescent="0.35">
      <c r="B49" s="36"/>
      <c r="C49" s="178"/>
      <c r="D49" s="179"/>
      <c r="E49" s="96"/>
      <c r="F49" s="97"/>
      <c r="G49" s="89">
        <v>0</v>
      </c>
      <c r="H49" s="151"/>
      <c r="I49" s="152"/>
      <c r="J49" s="153"/>
      <c r="K49" s="37"/>
      <c r="M49" s="26"/>
    </row>
    <row r="50" spans="2:13" ht="15" thickBot="1" x14ac:dyDescent="0.35">
      <c r="B50" s="36"/>
      <c r="C50" s="166"/>
      <c r="D50" s="167"/>
      <c r="E50" s="96">
        <f>+I39</f>
        <v>0</v>
      </c>
      <c r="F50" s="97">
        <v>0</v>
      </c>
      <c r="G50" s="89">
        <f>+E50*F50</f>
        <v>0</v>
      </c>
      <c r="H50" s="151"/>
      <c r="I50" s="152"/>
      <c r="J50" s="153"/>
      <c r="K50" s="37"/>
      <c r="M50" s="26"/>
    </row>
    <row r="51" spans="2:13" ht="15" thickBot="1" x14ac:dyDescent="0.35">
      <c r="B51" s="36"/>
      <c r="C51" s="160" t="s">
        <v>93</v>
      </c>
      <c r="D51" s="163"/>
      <c r="E51" s="163"/>
      <c r="F51" s="161"/>
      <c r="G51" s="101">
        <f>SUM(G48:G50)</f>
        <v>0</v>
      </c>
      <c r="H51" s="151"/>
      <c r="I51" s="152"/>
      <c r="J51" s="153"/>
      <c r="K51" s="37"/>
    </row>
    <row r="52" spans="2:13" ht="15" thickBot="1" x14ac:dyDescent="0.35">
      <c r="B52" s="36"/>
      <c r="C52" s="160" t="s">
        <v>13</v>
      </c>
      <c r="D52" s="163"/>
      <c r="E52" s="163"/>
      <c r="F52" s="161"/>
      <c r="G52" s="112">
        <f>+G47-G51</f>
        <v>329998</v>
      </c>
      <c r="H52" s="171"/>
      <c r="I52" s="172"/>
      <c r="J52" s="173"/>
      <c r="K52" s="37"/>
      <c r="M52" s="26"/>
    </row>
    <row r="53" spans="2:13" ht="4.8" customHeight="1" x14ac:dyDescent="0.3">
      <c r="B53" s="36"/>
      <c r="C53" s="109"/>
      <c r="D53" s="109"/>
      <c r="E53" s="109"/>
      <c r="F53" s="109"/>
      <c r="G53" s="109"/>
      <c r="H53" s="109"/>
      <c r="I53" s="109"/>
      <c r="J53" s="109"/>
      <c r="K53" s="37"/>
      <c r="M53" s="26"/>
    </row>
    <row r="54" spans="2:13" ht="27" customHeight="1" x14ac:dyDescent="0.3">
      <c r="B54" s="36"/>
      <c r="C54" s="109" t="s">
        <v>27</v>
      </c>
      <c r="D54" s="109"/>
      <c r="E54" s="109"/>
      <c r="F54" s="109"/>
      <c r="G54" s="109"/>
      <c r="H54" s="109"/>
      <c r="I54" s="109"/>
      <c r="J54" s="109"/>
      <c r="K54" s="37"/>
      <c r="M54" s="26"/>
    </row>
    <row r="55" spans="2:13" ht="25.8" customHeight="1" x14ac:dyDescent="0.3">
      <c r="B55" s="36"/>
      <c r="C55" s="109" t="s">
        <v>26</v>
      </c>
      <c r="D55" s="109" t="s">
        <v>17</v>
      </c>
      <c r="E55" s="109"/>
      <c r="F55" s="109"/>
      <c r="G55" s="109"/>
      <c r="H55" s="109"/>
      <c r="I55" s="109" t="s">
        <v>14</v>
      </c>
      <c r="J55" s="109"/>
      <c r="K55" s="37"/>
    </row>
    <row r="56" spans="2:13" x14ac:dyDescent="0.3">
      <c r="B56" s="36"/>
      <c r="C56" s="109"/>
      <c r="D56" s="109"/>
      <c r="E56" s="109"/>
      <c r="F56" s="109"/>
      <c r="G56" s="109"/>
      <c r="H56" s="109"/>
      <c r="I56" s="109"/>
      <c r="J56" s="109"/>
      <c r="K56" s="37"/>
    </row>
    <row r="57" spans="2:13" x14ac:dyDescent="0.3">
      <c r="B57" s="36"/>
      <c r="C57" s="109"/>
      <c r="D57" s="109"/>
      <c r="E57" s="109"/>
      <c r="F57" s="109"/>
      <c r="G57" s="109"/>
      <c r="H57" s="109"/>
      <c r="I57" s="109"/>
      <c r="J57" s="109"/>
      <c r="K57" s="37"/>
    </row>
    <row r="58" spans="2:13" x14ac:dyDescent="0.3">
      <c r="B58" s="36"/>
      <c r="C58" s="115" t="str">
        <f>+E36</f>
        <v>PIKY APRILI (PIKY)</v>
      </c>
      <c r="D58" s="109"/>
      <c r="E58" s="109"/>
      <c r="F58" s="109"/>
      <c r="G58" s="109"/>
      <c r="H58" s="109"/>
      <c r="I58" s="162" t="s">
        <v>33</v>
      </c>
      <c r="J58" s="162"/>
      <c r="K58" s="37"/>
    </row>
    <row r="59" spans="2:13" ht="4.8" customHeight="1" thickBot="1" x14ac:dyDescent="0.35">
      <c r="B59" s="40"/>
      <c r="C59" s="111"/>
      <c r="D59" s="111"/>
      <c r="E59" s="111"/>
      <c r="F59" s="111"/>
      <c r="G59" s="111"/>
      <c r="H59" s="111"/>
      <c r="I59" s="111"/>
      <c r="J59" s="111"/>
      <c r="K59" s="41"/>
    </row>
    <row r="60" spans="2:13" ht="15" thickTop="1" x14ac:dyDescent="0.3"/>
    <row r="61" spans="2:13" ht="15" thickBot="1" x14ac:dyDescent="0.35"/>
    <row r="62" spans="2:13" ht="5.4" customHeight="1" thickTop="1" x14ac:dyDescent="0.3">
      <c r="B62" s="34"/>
      <c r="C62" s="42"/>
      <c r="D62" s="42"/>
      <c r="E62" s="42"/>
      <c r="F62" s="42"/>
      <c r="G62" s="42"/>
      <c r="H62" s="42"/>
      <c r="I62" s="42"/>
      <c r="J62" s="42"/>
      <c r="K62" s="35"/>
    </row>
    <row r="63" spans="2:13" ht="21" x14ac:dyDescent="0.3">
      <c r="B63" s="36"/>
      <c r="C63" s="157" t="s">
        <v>16</v>
      </c>
      <c r="D63" s="157"/>
      <c r="E63" s="157"/>
      <c r="F63" s="157"/>
      <c r="G63" s="157"/>
      <c r="H63" s="157"/>
      <c r="I63" s="157"/>
      <c r="J63" s="157"/>
      <c r="K63" s="37"/>
    </row>
    <row r="64" spans="2:13" ht="18" x14ac:dyDescent="0.3">
      <c r="B64" s="36"/>
      <c r="C64" s="158" t="s">
        <v>15</v>
      </c>
      <c r="D64" s="158"/>
      <c r="E64" s="158"/>
      <c r="F64" s="158"/>
      <c r="G64" s="158"/>
      <c r="H64" s="158"/>
      <c r="I64" s="158"/>
      <c r="J64" s="158"/>
      <c r="K64" s="37"/>
    </row>
    <row r="65" spans="2:11" ht="5.4" customHeight="1" x14ac:dyDescent="0.3">
      <c r="B65" s="36"/>
      <c r="C65" s="38"/>
      <c r="D65" s="38"/>
      <c r="E65" s="38"/>
      <c r="F65" s="1"/>
      <c r="G65" s="1"/>
      <c r="H65" s="1"/>
      <c r="I65" s="1"/>
      <c r="J65" s="1"/>
      <c r="K65" s="37"/>
    </row>
    <row r="66" spans="2:11" x14ac:dyDescent="0.3">
      <c r="B66" s="36"/>
      <c r="C66" s="88" t="s">
        <v>18</v>
      </c>
      <c r="D66" s="88" t="s">
        <v>17</v>
      </c>
      <c r="E66" s="39" t="s">
        <v>31</v>
      </c>
      <c r="F66" s="103"/>
      <c r="G66" s="104"/>
      <c r="H66" s="88"/>
      <c r="I66" s="88"/>
      <c r="J66" s="88"/>
      <c r="K66" s="37"/>
    </row>
    <row r="67" spans="2:11" x14ac:dyDescent="0.3">
      <c r="B67" s="36"/>
      <c r="C67" s="88" t="s">
        <v>19</v>
      </c>
      <c r="D67" s="88" t="s">
        <v>17</v>
      </c>
      <c r="E67" s="159" t="s">
        <v>85</v>
      </c>
      <c r="F67" s="159"/>
      <c r="G67" s="88" t="s">
        <v>38</v>
      </c>
      <c r="H67" s="105" t="s">
        <v>17</v>
      </c>
      <c r="I67" s="106">
        <f>+'REKAP PENDAPATAN JUL 26'!D13</f>
        <v>0</v>
      </c>
      <c r="J67" s="107" t="s">
        <v>34</v>
      </c>
      <c r="K67" s="37"/>
    </row>
    <row r="68" spans="2:11" x14ac:dyDescent="0.3">
      <c r="B68" s="36"/>
      <c r="C68" s="88" t="s">
        <v>20</v>
      </c>
      <c r="D68" s="88" t="s">
        <v>17</v>
      </c>
      <c r="E68" s="159" t="s">
        <v>76</v>
      </c>
      <c r="F68" s="159"/>
      <c r="G68" s="88" t="s">
        <v>91</v>
      </c>
      <c r="H68" s="105" t="s">
        <v>17</v>
      </c>
      <c r="I68" s="106">
        <f>+'REKAP PENDAPATAN JUL 26'!O253</f>
        <v>0</v>
      </c>
      <c r="J68" s="107" t="s">
        <v>34</v>
      </c>
      <c r="K68" s="37"/>
    </row>
    <row r="69" spans="2:11" x14ac:dyDescent="0.3">
      <c r="B69" s="36"/>
      <c r="C69" s="88" t="s">
        <v>77</v>
      </c>
      <c r="D69" s="88" t="s">
        <v>17</v>
      </c>
      <c r="E69" s="159" t="s">
        <v>78</v>
      </c>
      <c r="F69" s="159"/>
      <c r="G69" s="88" t="s">
        <v>32</v>
      </c>
      <c r="H69" s="105" t="s">
        <v>17</v>
      </c>
      <c r="I69" s="108">
        <f>+'REKAP PENDAPATAN JUL 26'!Q106</f>
        <v>0</v>
      </c>
      <c r="J69" s="107" t="s">
        <v>35</v>
      </c>
      <c r="K69" s="37"/>
    </row>
    <row r="70" spans="2:11" ht="10.199999999999999" customHeight="1" thickBot="1" x14ac:dyDescent="0.35">
      <c r="B70" s="36"/>
      <c r="C70" s="109"/>
      <c r="D70" s="109"/>
      <c r="E70" s="109"/>
      <c r="F70" s="109"/>
      <c r="G70" s="109"/>
      <c r="H70" s="109"/>
      <c r="I70" s="109"/>
      <c r="J70" s="109"/>
      <c r="K70" s="37"/>
    </row>
    <row r="71" spans="2:11" ht="42" thickBot="1" x14ac:dyDescent="0.35">
      <c r="B71" s="36"/>
      <c r="C71" s="160" t="s">
        <v>8</v>
      </c>
      <c r="D71" s="161"/>
      <c r="E71" s="114" t="s">
        <v>95</v>
      </c>
      <c r="F71" s="102" t="s">
        <v>96</v>
      </c>
      <c r="G71" s="102" t="s">
        <v>9</v>
      </c>
      <c r="H71" s="154" t="s">
        <v>25</v>
      </c>
      <c r="I71" s="155"/>
      <c r="J71" s="156"/>
      <c r="K71" s="37"/>
    </row>
    <row r="72" spans="2:11" ht="15" thickBot="1" x14ac:dyDescent="0.35">
      <c r="B72" s="36"/>
      <c r="C72" s="149" t="s">
        <v>10</v>
      </c>
      <c r="D72" s="150"/>
      <c r="E72" s="96">
        <f>+I67</f>
        <v>0</v>
      </c>
      <c r="F72" s="97">
        <f>+'REKAP PENDAPATAN JUL 26'!E13</f>
        <v>0</v>
      </c>
      <c r="G72" s="89">
        <f>+E72*F72</f>
        <v>0</v>
      </c>
      <c r="H72" s="151"/>
      <c r="I72" s="152"/>
      <c r="J72" s="153"/>
      <c r="K72" s="37"/>
    </row>
    <row r="73" spans="2:11" ht="15" thickBot="1" x14ac:dyDescent="0.35">
      <c r="B73" s="36"/>
      <c r="C73" s="149" t="s">
        <v>22</v>
      </c>
      <c r="D73" s="150"/>
      <c r="E73" s="98">
        <v>22</v>
      </c>
      <c r="F73" s="99">
        <v>15000</v>
      </c>
      <c r="G73" s="89">
        <f>+E73*F73</f>
        <v>330000</v>
      </c>
      <c r="H73" s="151"/>
      <c r="I73" s="152"/>
      <c r="J73" s="153"/>
      <c r="K73" s="37"/>
    </row>
    <row r="74" spans="2:11" ht="15" thickBot="1" x14ac:dyDescent="0.35">
      <c r="B74" s="36"/>
      <c r="C74" s="149" t="s">
        <v>23</v>
      </c>
      <c r="D74" s="150"/>
      <c r="E74" s="98"/>
      <c r="F74" s="100"/>
      <c r="G74" s="89">
        <v>100000</v>
      </c>
      <c r="H74" s="151" t="s">
        <v>98</v>
      </c>
      <c r="I74" s="152"/>
      <c r="J74" s="153"/>
      <c r="K74" s="37"/>
    </row>
    <row r="75" spans="2:11" ht="15" thickBot="1" x14ac:dyDescent="0.35">
      <c r="B75" s="36"/>
      <c r="C75" s="149" t="s">
        <v>24</v>
      </c>
      <c r="D75" s="150"/>
      <c r="E75" s="98"/>
      <c r="F75" s="100"/>
      <c r="G75" s="89">
        <f>+'REKAP PENDAPATAN JUL 26'!K225</f>
        <v>0</v>
      </c>
      <c r="H75" s="151"/>
      <c r="I75" s="152"/>
      <c r="J75" s="153"/>
      <c r="K75" s="37"/>
    </row>
    <row r="76" spans="2:11" ht="15" thickBot="1" x14ac:dyDescent="0.35">
      <c r="B76" s="36"/>
      <c r="C76" s="149" t="s">
        <v>79</v>
      </c>
      <c r="D76" s="150"/>
      <c r="E76" s="98"/>
      <c r="F76" s="100"/>
      <c r="G76" s="89">
        <v>0</v>
      </c>
      <c r="H76" s="151"/>
      <c r="I76" s="152"/>
      <c r="J76" s="153"/>
      <c r="K76" s="37"/>
    </row>
    <row r="77" spans="2:11" ht="15" thickBot="1" x14ac:dyDescent="0.35">
      <c r="B77" s="36"/>
      <c r="C77" s="160" t="s">
        <v>92</v>
      </c>
      <c r="D77" s="163"/>
      <c r="E77" s="163"/>
      <c r="F77" s="161"/>
      <c r="G77" s="113">
        <f>SUM(G72:G76)</f>
        <v>430000</v>
      </c>
      <c r="H77" s="151"/>
      <c r="I77" s="152"/>
      <c r="J77" s="153"/>
      <c r="K77" s="37"/>
    </row>
    <row r="78" spans="2:11" ht="15" thickBot="1" x14ac:dyDescent="0.35">
      <c r="B78" s="36"/>
      <c r="C78" s="164" t="s">
        <v>12</v>
      </c>
      <c r="D78" s="165"/>
      <c r="E78" s="96">
        <f>+I68</f>
        <v>0</v>
      </c>
      <c r="F78" s="97">
        <v>0</v>
      </c>
      <c r="G78" s="89">
        <f>+'REKAP PENDAPATAN JUL 26'!U13</f>
        <v>0</v>
      </c>
      <c r="H78" s="151" t="s">
        <v>90</v>
      </c>
      <c r="I78" s="152"/>
      <c r="J78" s="153"/>
      <c r="K78" s="37"/>
    </row>
    <row r="79" spans="2:11" ht="15" thickBot="1" x14ac:dyDescent="0.35">
      <c r="B79" s="36"/>
      <c r="C79" s="178"/>
      <c r="D79" s="179"/>
      <c r="E79" s="96"/>
      <c r="F79" s="97"/>
      <c r="G79" s="89">
        <v>0</v>
      </c>
      <c r="H79" s="151"/>
      <c r="I79" s="152"/>
      <c r="J79" s="153"/>
      <c r="K79" s="37"/>
    </row>
    <row r="80" spans="2:11" ht="15" thickBot="1" x14ac:dyDescent="0.35">
      <c r="B80" s="36"/>
      <c r="C80" s="166"/>
      <c r="D80" s="167"/>
      <c r="E80" s="96">
        <f>+I69</f>
        <v>0</v>
      </c>
      <c r="F80" s="97">
        <v>0</v>
      </c>
      <c r="G80" s="89">
        <f>+E80*F80</f>
        <v>0</v>
      </c>
      <c r="H80" s="151"/>
      <c r="I80" s="152"/>
      <c r="J80" s="153"/>
      <c r="K80" s="37"/>
    </row>
    <row r="81" spans="2:11" ht="15" thickBot="1" x14ac:dyDescent="0.35">
      <c r="B81" s="36"/>
      <c r="C81" s="160" t="s">
        <v>93</v>
      </c>
      <c r="D81" s="163"/>
      <c r="E81" s="163"/>
      <c r="F81" s="161"/>
      <c r="G81" s="101">
        <f>SUM(G78:G80)</f>
        <v>0</v>
      </c>
      <c r="H81" s="151"/>
      <c r="I81" s="152"/>
      <c r="J81" s="153"/>
      <c r="K81" s="37"/>
    </row>
    <row r="82" spans="2:11" ht="15" thickBot="1" x14ac:dyDescent="0.35">
      <c r="B82" s="36"/>
      <c r="C82" s="160" t="s">
        <v>13</v>
      </c>
      <c r="D82" s="163"/>
      <c r="E82" s="163"/>
      <c r="F82" s="161"/>
      <c r="G82" s="112">
        <f>+G77-G81</f>
        <v>430000</v>
      </c>
      <c r="H82" s="171"/>
      <c r="I82" s="172"/>
      <c r="J82" s="173"/>
      <c r="K82" s="37"/>
    </row>
    <row r="83" spans="2:11" ht="6.6" customHeight="1" x14ac:dyDescent="0.3">
      <c r="B83" s="36"/>
      <c r="C83" s="109"/>
      <c r="D83" s="109"/>
      <c r="E83" s="109"/>
      <c r="F83" s="109"/>
      <c r="G83" s="109"/>
      <c r="H83" s="109"/>
      <c r="I83" s="109"/>
      <c r="J83" s="109"/>
      <c r="K83" s="37"/>
    </row>
    <row r="84" spans="2:11" x14ac:dyDescent="0.3">
      <c r="B84" s="36"/>
      <c r="C84" s="109" t="s">
        <v>27</v>
      </c>
      <c r="D84" s="109"/>
      <c r="E84" s="109"/>
      <c r="F84" s="109"/>
      <c r="G84" s="109"/>
      <c r="H84" s="109"/>
      <c r="I84" s="109"/>
      <c r="J84" s="109"/>
      <c r="K84" s="37"/>
    </row>
    <row r="85" spans="2:11" x14ac:dyDescent="0.3">
      <c r="B85" s="36"/>
      <c r="C85" s="109" t="s">
        <v>26</v>
      </c>
      <c r="D85" s="109" t="s">
        <v>17</v>
      </c>
      <c r="E85" s="109"/>
      <c r="F85" s="109"/>
      <c r="G85" s="109"/>
      <c r="H85" s="109"/>
      <c r="I85" s="109" t="s">
        <v>14</v>
      </c>
      <c r="J85" s="109"/>
      <c r="K85" s="37"/>
    </row>
    <row r="86" spans="2:11" x14ac:dyDescent="0.3">
      <c r="B86" s="36"/>
      <c r="C86" s="109"/>
      <c r="D86" s="109"/>
      <c r="E86" s="109"/>
      <c r="F86" s="109"/>
      <c r="G86" s="109"/>
      <c r="H86" s="109"/>
      <c r="I86" s="109"/>
      <c r="J86" s="109"/>
      <c r="K86" s="37"/>
    </row>
    <row r="87" spans="2:11" x14ac:dyDescent="0.3">
      <c r="B87" s="36"/>
      <c r="C87" s="109"/>
      <c r="D87" s="109"/>
      <c r="E87" s="109"/>
      <c r="F87" s="109"/>
      <c r="G87" s="109"/>
      <c r="H87" s="109"/>
      <c r="I87" s="109"/>
      <c r="J87" s="109"/>
      <c r="K87" s="37"/>
    </row>
    <row r="88" spans="2:11" x14ac:dyDescent="0.3">
      <c r="B88" s="36"/>
      <c r="C88" s="115" t="str">
        <f>+E66</f>
        <v>ARTIKA SARI HASSAN YUDHA PUTRI (ARTIKA)</v>
      </c>
      <c r="D88" s="109"/>
      <c r="E88" s="109"/>
      <c r="F88" s="109"/>
      <c r="G88" s="109"/>
      <c r="H88" s="109"/>
      <c r="I88" s="162" t="s">
        <v>33</v>
      </c>
      <c r="J88" s="162"/>
      <c r="K88" s="37"/>
    </row>
    <row r="89" spans="2:11" ht="3.6" customHeight="1" thickBot="1" x14ac:dyDescent="0.35">
      <c r="B89" s="40"/>
      <c r="C89" s="111"/>
      <c r="D89" s="111"/>
      <c r="E89" s="111"/>
      <c r="F89" s="111"/>
      <c r="G89" s="111"/>
      <c r="H89" s="111"/>
      <c r="I89" s="111"/>
      <c r="J89" s="111"/>
      <c r="K89" s="41"/>
    </row>
    <row r="90" spans="2:11" ht="15.6" thickTop="1" thickBot="1" x14ac:dyDescent="0.35"/>
    <row r="91" spans="2:11" ht="15" thickTop="1" x14ac:dyDescent="0.3">
      <c r="B91" s="34"/>
      <c r="C91" s="42"/>
      <c r="D91" s="42"/>
      <c r="E91" s="42"/>
      <c r="F91" s="42"/>
      <c r="G91" s="42"/>
      <c r="H91" s="42"/>
      <c r="I91" s="42"/>
      <c r="J91" s="42"/>
      <c r="K91" s="35"/>
    </row>
    <row r="92" spans="2:11" ht="21" x14ac:dyDescent="0.3">
      <c r="B92" s="36"/>
      <c r="C92" s="157" t="s">
        <v>16</v>
      </c>
      <c r="D92" s="157"/>
      <c r="E92" s="157"/>
      <c r="F92" s="157"/>
      <c r="G92" s="157"/>
      <c r="H92" s="157"/>
      <c r="I92" s="157"/>
      <c r="J92" s="157"/>
      <c r="K92" s="37"/>
    </row>
    <row r="93" spans="2:11" ht="18" x14ac:dyDescent="0.3">
      <c r="B93" s="36"/>
      <c r="C93" s="158" t="s">
        <v>15</v>
      </c>
      <c r="D93" s="158"/>
      <c r="E93" s="158"/>
      <c r="F93" s="158"/>
      <c r="G93" s="158"/>
      <c r="H93" s="158"/>
      <c r="I93" s="158"/>
      <c r="J93" s="158"/>
      <c r="K93" s="37"/>
    </row>
    <row r="94" spans="2:11" ht="18" x14ac:dyDescent="0.3">
      <c r="B94" s="36"/>
      <c r="C94" s="38"/>
      <c r="D94" s="38"/>
      <c r="E94" s="38"/>
      <c r="F94" s="1"/>
      <c r="G94" s="1"/>
      <c r="H94" s="1"/>
      <c r="I94" s="1"/>
      <c r="J94" s="1"/>
      <c r="K94" s="37"/>
    </row>
    <row r="95" spans="2:11" x14ac:dyDescent="0.3">
      <c r="B95" s="36"/>
      <c r="C95" s="88" t="s">
        <v>18</v>
      </c>
      <c r="D95" s="88" t="s">
        <v>17</v>
      </c>
      <c r="E95" s="39" t="s">
        <v>104</v>
      </c>
      <c r="F95" s="103"/>
      <c r="G95" s="104"/>
      <c r="H95" s="88"/>
      <c r="I95" s="88"/>
      <c r="J95" s="88"/>
      <c r="K95" s="37"/>
    </row>
    <row r="96" spans="2:11" x14ac:dyDescent="0.3">
      <c r="B96" s="36"/>
      <c r="C96" s="88" t="s">
        <v>19</v>
      </c>
      <c r="D96" s="88" t="s">
        <v>17</v>
      </c>
      <c r="E96" s="159" t="s">
        <v>102</v>
      </c>
      <c r="F96" s="159"/>
      <c r="G96" s="88" t="s">
        <v>38</v>
      </c>
      <c r="H96" s="105" t="s">
        <v>17</v>
      </c>
      <c r="I96" s="106">
        <v>26</v>
      </c>
      <c r="J96" s="107" t="s">
        <v>34</v>
      </c>
      <c r="K96" s="37"/>
    </row>
    <row r="97" spans="2:11" x14ac:dyDescent="0.3">
      <c r="B97" s="36"/>
      <c r="C97" s="88" t="s">
        <v>20</v>
      </c>
      <c r="D97" s="88" t="s">
        <v>17</v>
      </c>
      <c r="E97" s="159" t="s">
        <v>76</v>
      </c>
      <c r="F97" s="159"/>
      <c r="G97" s="88" t="s">
        <v>91</v>
      </c>
      <c r="H97" s="105" t="s">
        <v>17</v>
      </c>
      <c r="I97" s="106">
        <f>+'REKAP PENDAPATAN JUL 26'!O282</f>
        <v>0</v>
      </c>
      <c r="J97" s="107" t="s">
        <v>34</v>
      </c>
      <c r="K97" s="37"/>
    </row>
    <row r="98" spans="2:11" x14ac:dyDescent="0.3">
      <c r="B98" s="36"/>
      <c r="C98" s="88" t="s">
        <v>77</v>
      </c>
      <c r="D98" s="88" t="s">
        <v>17</v>
      </c>
      <c r="E98" s="159" t="s">
        <v>78</v>
      </c>
      <c r="F98" s="159"/>
      <c r="G98" s="88" t="s">
        <v>32</v>
      </c>
      <c r="H98" s="105" t="s">
        <v>17</v>
      </c>
      <c r="I98" s="108">
        <f>+'REKAP PENDAPATAN JUL 26'!Q135</f>
        <v>0</v>
      </c>
      <c r="J98" s="107" t="s">
        <v>35</v>
      </c>
      <c r="K98" s="37"/>
    </row>
    <row r="99" spans="2:11" ht="15" thickBot="1" x14ac:dyDescent="0.35">
      <c r="B99" s="36"/>
      <c r="C99" s="109"/>
      <c r="D99" s="109"/>
      <c r="E99" s="109"/>
      <c r="F99" s="109"/>
      <c r="G99" s="109"/>
      <c r="H99" s="109"/>
      <c r="I99" s="109"/>
      <c r="J99" s="109"/>
      <c r="K99" s="37"/>
    </row>
    <row r="100" spans="2:11" ht="42" thickBot="1" x14ac:dyDescent="0.35">
      <c r="B100" s="36"/>
      <c r="C100" s="160" t="s">
        <v>8</v>
      </c>
      <c r="D100" s="161"/>
      <c r="E100" s="114" t="s">
        <v>95</v>
      </c>
      <c r="F100" s="102" t="s">
        <v>96</v>
      </c>
      <c r="G100" s="102" t="s">
        <v>9</v>
      </c>
      <c r="H100" s="154" t="s">
        <v>25</v>
      </c>
      <c r="I100" s="155"/>
      <c r="J100" s="156"/>
      <c r="K100" s="37"/>
    </row>
    <row r="101" spans="2:11" ht="15" thickBot="1" x14ac:dyDescent="0.35">
      <c r="B101" s="36"/>
      <c r="C101" s="149" t="s">
        <v>10</v>
      </c>
      <c r="D101" s="150"/>
      <c r="E101" s="96">
        <f>+I96</f>
        <v>26</v>
      </c>
      <c r="F101" s="97">
        <f>+'REKAP PENDAPATAN JUL 26'!E14</f>
        <v>0</v>
      </c>
      <c r="G101" s="89">
        <f>+E101*F101</f>
        <v>0</v>
      </c>
      <c r="H101" s="151"/>
      <c r="I101" s="152"/>
      <c r="J101" s="153"/>
      <c r="K101" s="37"/>
    </row>
    <row r="102" spans="2:11" ht="15" thickBot="1" x14ac:dyDescent="0.35">
      <c r="B102" s="36"/>
      <c r="C102" s="149" t="s">
        <v>24</v>
      </c>
      <c r="D102" s="150"/>
      <c r="E102" s="98"/>
      <c r="F102" s="100"/>
      <c r="G102" s="89">
        <v>0</v>
      </c>
      <c r="H102" s="151"/>
      <c r="I102" s="152"/>
      <c r="J102" s="153"/>
      <c r="K102" s="37"/>
    </row>
    <row r="103" spans="2:11" ht="15" thickBot="1" x14ac:dyDescent="0.35">
      <c r="B103" s="36"/>
      <c r="C103" s="149" t="s">
        <v>103</v>
      </c>
      <c r="D103" s="150"/>
      <c r="E103" s="98"/>
      <c r="F103" s="100"/>
      <c r="G103" s="89">
        <f>+'REKAP PENDAPATAN JUL 26'!K254</f>
        <v>0</v>
      </c>
      <c r="H103" s="151"/>
      <c r="I103" s="152"/>
      <c r="J103" s="153"/>
      <c r="K103" s="37"/>
    </row>
    <row r="104" spans="2:11" ht="15" thickBot="1" x14ac:dyDescent="0.35">
      <c r="B104" s="36"/>
      <c r="C104" s="160" t="s">
        <v>92</v>
      </c>
      <c r="D104" s="163"/>
      <c r="E104" s="163"/>
      <c r="F104" s="161"/>
      <c r="G104" s="113">
        <f>SUM(G101:G103)</f>
        <v>0</v>
      </c>
      <c r="H104" s="151"/>
      <c r="I104" s="152"/>
      <c r="J104" s="153"/>
      <c r="K104" s="37"/>
    </row>
    <row r="105" spans="2:11" ht="15" thickBot="1" x14ac:dyDescent="0.35">
      <c r="B105" s="36"/>
      <c r="C105" s="164" t="s">
        <v>12</v>
      </c>
      <c r="D105" s="165"/>
      <c r="E105" s="96">
        <f>+I97</f>
        <v>0</v>
      </c>
      <c r="F105" s="97">
        <v>0</v>
      </c>
      <c r="G105" s="89">
        <f>+'REKAP PENDAPATAN JUL 26'!U42</f>
        <v>0</v>
      </c>
      <c r="H105" s="151"/>
      <c r="I105" s="152"/>
      <c r="J105" s="153"/>
      <c r="K105" s="37"/>
    </row>
    <row r="106" spans="2:11" ht="15" thickBot="1" x14ac:dyDescent="0.35">
      <c r="B106" s="36"/>
      <c r="C106" s="178"/>
      <c r="D106" s="179"/>
      <c r="E106" s="96"/>
      <c r="F106" s="97"/>
      <c r="G106" s="89">
        <v>0</v>
      </c>
      <c r="H106" s="151"/>
      <c r="I106" s="152"/>
      <c r="J106" s="153"/>
      <c r="K106" s="37"/>
    </row>
    <row r="107" spans="2:11" ht="15" thickBot="1" x14ac:dyDescent="0.35">
      <c r="B107" s="36"/>
      <c r="C107" s="166"/>
      <c r="D107" s="167"/>
      <c r="E107" s="96">
        <f>+I98</f>
        <v>0</v>
      </c>
      <c r="F107" s="97">
        <v>0</v>
      </c>
      <c r="G107" s="89">
        <f>+E107*F107</f>
        <v>0</v>
      </c>
      <c r="H107" s="151"/>
      <c r="I107" s="152"/>
      <c r="J107" s="153"/>
      <c r="K107" s="37"/>
    </row>
    <row r="108" spans="2:11" ht="15" thickBot="1" x14ac:dyDescent="0.35">
      <c r="B108" s="36"/>
      <c r="C108" s="160" t="s">
        <v>93</v>
      </c>
      <c r="D108" s="163"/>
      <c r="E108" s="163"/>
      <c r="F108" s="161"/>
      <c r="G108" s="101">
        <f>SUM(G105:G107)</f>
        <v>0</v>
      </c>
      <c r="H108" s="151"/>
      <c r="I108" s="152"/>
      <c r="J108" s="153"/>
      <c r="K108" s="37"/>
    </row>
    <row r="109" spans="2:11" ht="15" thickBot="1" x14ac:dyDescent="0.35">
      <c r="B109" s="36"/>
      <c r="C109" s="160" t="s">
        <v>13</v>
      </c>
      <c r="D109" s="163"/>
      <c r="E109" s="163"/>
      <c r="F109" s="161"/>
      <c r="G109" s="112">
        <f>+G104-G108</f>
        <v>0</v>
      </c>
      <c r="H109" s="171"/>
      <c r="I109" s="172"/>
      <c r="J109" s="173"/>
      <c r="K109" s="37"/>
    </row>
    <row r="110" spans="2:11" x14ac:dyDescent="0.3">
      <c r="B110" s="36"/>
      <c r="C110" s="109"/>
      <c r="D110" s="109"/>
      <c r="E110" s="109"/>
      <c r="F110" s="109"/>
      <c r="G110" s="109"/>
      <c r="H110" s="109"/>
      <c r="I110" s="109"/>
      <c r="J110" s="109"/>
      <c r="K110" s="37"/>
    </row>
    <row r="111" spans="2:11" x14ac:dyDescent="0.3">
      <c r="B111" s="36"/>
      <c r="C111" s="109" t="s">
        <v>27</v>
      </c>
      <c r="D111" s="109"/>
      <c r="E111" s="109"/>
      <c r="F111" s="109"/>
      <c r="G111" s="109"/>
      <c r="H111" s="109"/>
      <c r="I111" s="109"/>
      <c r="J111" s="109"/>
      <c r="K111" s="37"/>
    </row>
    <row r="112" spans="2:11" x14ac:dyDescent="0.3">
      <c r="B112" s="36"/>
      <c r="C112" s="109" t="s">
        <v>26</v>
      </c>
      <c r="D112" s="109" t="s">
        <v>17</v>
      </c>
      <c r="E112" s="109"/>
      <c r="F112" s="109"/>
      <c r="G112" s="109"/>
      <c r="H112" s="109"/>
      <c r="I112" s="109" t="s">
        <v>14</v>
      </c>
      <c r="J112" s="109"/>
      <c r="K112" s="37"/>
    </row>
    <row r="113" spans="2:11" x14ac:dyDescent="0.3">
      <c r="B113" s="36"/>
      <c r="C113" s="109"/>
      <c r="D113" s="109"/>
      <c r="E113" s="109"/>
      <c r="F113" s="109"/>
      <c r="G113" s="109"/>
      <c r="H113" s="109"/>
      <c r="I113" s="109"/>
      <c r="J113" s="109"/>
      <c r="K113" s="37"/>
    </row>
    <row r="114" spans="2:11" x14ac:dyDescent="0.3">
      <c r="B114" s="36"/>
      <c r="C114" s="109"/>
      <c r="D114" s="109"/>
      <c r="E114" s="109"/>
      <c r="F114" s="109"/>
      <c r="G114" s="109"/>
      <c r="H114" s="109"/>
      <c r="I114" s="109"/>
      <c r="J114" s="109"/>
      <c r="K114" s="37"/>
    </row>
    <row r="115" spans="2:11" x14ac:dyDescent="0.3">
      <c r="B115" s="36"/>
      <c r="C115" s="115" t="str">
        <f>+E95</f>
        <v>GESTI (GEGE)</v>
      </c>
      <c r="D115" s="109"/>
      <c r="E115" s="109"/>
      <c r="F115" s="109"/>
      <c r="G115" s="109"/>
      <c r="H115" s="109"/>
      <c r="I115" s="162" t="s">
        <v>33</v>
      </c>
      <c r="J115" s="162"/>
      <c r="K115" s="37"/>
    </row>
    <row r="116" spans="2:11" ht="15" thickBot="1" x14ac:dyDescent="0.35">
      <c r="B116" s="40"/>
      <c r="C116" s="111"/>
      <c r="D116" s="111"/>
      <c r="E116" s="111"/>
      <c r="F116" s="111"/>
      <c r="G116" s="111"/>
      <c r="H116" s="111"/>
      <c r="I116" s="111"/>
      <c r="J116" s="111"/>
      <c r="K116" s="41"/>
    </row>
    <row r="117" spans="2:11" ht="15" thickTop="1" x14ac:dyDescent="0.3"/>
  </sheetData>
  <mergeCells count="110">
    <mergeCell ref="I115:J115"/>
    <mergeCell ref="C104:F104"/>
    <mergeCell ref="H104:J104"/>
    <mergeCell ref="C105:D107"/>
    <mergeCell ref="H105:J105"/>
    <mergeCell ref="H106:J106"/>
    <mergeCell ref="H107:J107"/>
    <mergeCell ref="C108:F108"/>
    <mergeCell ref="H108:J108"/>
    <mergeCell ref="C109:F109"/>
    <mergeCell ref="H109:J109"/>
    <mergeCell ref="C101:D101"/>
    <mergeCell ref="H101:J101"/>
    <mergeCell ref="C102:D102"/>
    <mergeCell ref="H102:J102"/>
    <mergeCell ref="C103:D103"/>
    <mergeCell ref="H103:J103"/>
    <mergeCell ref="C82:F82"/>
    <mergeCell ref="H82:J82"/>
    <mergeCell ref="I88:J88"/>
    <mergeCell ref="C92:J92"/>
    <mergeCell ref="C93:J93"/>
    <mergeCell ref="E96:F96"/>
    <mergeCell ref="E97:F97"/>
    <mergeCell ref="E98:F98"/>
    <mergeCell ref="C100:D100"/>
    <mergeCell ref="H100:J100"/>
    <mergeCell ref="C76:D76"/>
    <mergeCell ref="H76:J76"/>
    <mergeCell ref="C77:F77"/>
    <mergeCell ref="H77:J77"/>
    <mergeCell ref="C78:D80"/>
    <mergeCell ref="H78:J78"/>
    <mergeCell ref="H79:J79"/>
    <mergeCell ref="H80:J80"/>
    <mergeCell ref="C81:F81"/>
    <mergeCell ref="H81:J81"/>
    <mergeCell ref="C3:J3"/>
    <mergeCell ref="C4:J4"/>
    <mergeCell ref="H11:J11"/>
    <mergeCell ref="H12:J12"/>
    <mergeCell ref="H13:J13"/>
    <mergeCell ref="H14:J14"/>
    <mergeCell ref="C11:D11"/>
    <mergeCell ref="C12:D12"/>
    <mergeCell ref="C13:D13"/>
    <mergeCell ref="E6:F6"/>
    <mergeCell ref="E7:F7"/>
    <mergeCell ref="E8:F8"/>
    <mergeCell ref="E9:F9"/>
    <mergeCell ref="C14:D14"/>
    <mergeCell ref="C16:D16"/>
    <mergeCell ref="C15:D15"/>
    <mergeCell ref="H17:J17"/>
    <mergeCell ref="C17:D17"/>
    <mergeCell ref="C22:F22"/>
    <mergeCell ref="C18:F18"/>
    <mergeCell ref="C21:F21"/>
    <mergeCell ref="H21:J21"/>
    <mergeCell ref="C19:D20"/>
    <mergeCell ref="H19:J19"/>
    <mergeCell ref="H20:J20"/>
    <mergeCell ref="H15:J15"/>
    <mergeCell ref="H16:J16"/>
    <mergeCell ref="H18:J18"/>
    <mergeCell ref="H22:J22"/>
    <mergeCell ref="H41:J41"/>
    <mergeCell ref="H42:J42"/>
    <mergeCell ref="C71:D71"/>
    <mergeCell ref="I28:J28"/>
    <mergeCell ref="C41:D41"/>
    <mergeCell ref="C43:D43"/>
    <mergeCell ref="C44:D44"/>
    <mergeCell ref="C45:D45"/>
    <mergeCell ref="C46:D46"/>
    <mergeCell ref="C33:J33"/>
    <mergeCell ref="C34:J34"/>
    <mergeCell ref="C42:D42"/>
    <mergeCell ref="E37:F37"/>
    <mergeCell ref="E38:F38"/>
    <mergeCell ref="E39:F39"/>
    <mergeCell ref="C47:F47"/>
    <mergeCell ref="H47:J47"/>
    <mergeCell ref="C48:D50"/>
    <mergeCell ref="H48:J48"/>
    <mergeCell ref="H49:J49"/>
    <mergeCell ref="H50:J50"/>
    <mergeCell ref="C51:F51"/>
    <mergeCell ref="H51:J51"/>
    <mergeCell ref="C52:F52"/>
    <mergeCell ref="H43:J43"/>
    <mergeCell ref="H44:J44"/>
    <mergeCell ref="H45:J45"/>
    <mergeCell ref="H46:J46"/>
    <mergeCell ref="C63:J63"/>
    <mergeCell ref="C64:J64"/>
    <mergeCell ref="E67:F67"/>
    <mergeCell ref="E68:F68"/>
    <mergeCell ref="E69:F69"/>
    <mergeCell ref="H52:J52"/>
    <mergeCell ref="I58:J58"/>
    <mergeCell ref="C72:D72"/>
    <mergeCell ref="H72:J72"/>
    <mergeCell ref="C73:D73"/>
    <mergeCell ref="H73:J73"/>
    <mergeCell ref="C74:D74"/>
    <mergeCell ref="H74:J74"/>
    <mergeCell ref="C75:D75"/>
    <mergeCell ref="H75:J75"/>
    <mergeCell ref="H71:J71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A76F-D24C-469C-A821-7B5961FB4B5A}">
  <dimension ref="A1:W7"/>
  <sheetViews>
    <sheetView tabSelected="1" workbookViewId="0">
      <selection activeCell="M16" sqref="M16"/>
    </sheetView>
  </sheetViews>
  <sheetFormatPr defaultRowHeight="14.4" x14ac:dyDescent="0.3"/>
  <cols>
    <col min="1" max="1" width="5" customWidth="1"/>
    <col min="2" max="2" width="23.88671875" customWidth="1"/>
    <col min="3" max="3" width="8.88671875" customWidth="1"/>
    <col min="4" max="4" width="5.88671875" customWidth="1"/>
    <col min="5" max="5" width="5.77734375" customWidth="1"/>
    <col min="6" max="6" width="8.109375" customWidth="1"/>
    <col min="7" max="7" width="3.88671875" customWidth="1"/>
    <col min="8" max="8" width="8.21875" customWidth="1"/>
    <col min="9" max="9" width="5" customWidth="1"/>
    <col min="10" max="10" width="7.77734375" customWidth="1"/>
    <col min="11" max="11" width="5.6640625" customWidth="1"/>
    <col min="12" max="13" width="9.33203125" customWidth="1"/>
    <col min="14" max="14" width="6.6640625" customWidth="1"/>
    <col min="15" max="17" width="5.33203125" customWidth="1"/>
    <col min="18" max="18" width="7.88671875" customWidth="1"/>
    <col min="19" max="19" width="4.5546875" customWidth="1"/>
    <col min="20" max="20" width="7.77734375" customWidth="1"/>
    <col min="21" max="21" width="4.21875" customWidth="1"/>
    <col min="22" max="23" width="10.77734375" customWidth="1"/>
  </cols>
  <sheetData>
    <row r="1" spans="1:23" ht="43.2" customHeight="1" x14ac:dyDescent="0.3">
      <c r="A1" s="180" t="s">
        <v>0</v>
      </c>
      <c r="B1" s="180" t="s">
        <v>106</v>
      </c>
      <c r="C1" s="183" t="s">
        <v>121</v>
      </c>
      <c r="D1" s="188" t="s">
        <v>120</v>
      </c>
      <c r="E1" s="189"/>
      <c r="F1" s="181" t="s">
        <v>123</v>
      </c>
      <c r="G1" s="181"/>
      <c r="H1" s="181" t="s">
        <v>125</v>
      </c>
      <c r="I1" s="181"/>
      <c r="J1" s="181" t="s">
        <v>124</v>
      </c>
      <c r="K1" s="181"/>
      <c r="L1" s="183" t="s">
        <v>114</v>
      </c>
      <c r="M1" s="183" t="s">
        <v>116</v>
      </c>
      <c r="N1" s="181" t="s">
        <v>126</v>
      </c>
      <c r="O1" s="181"/>
      <c r="P1" s="181"/>
      <c r="Q1" s="181"/>
      <c r="R1" s="180" t="s">
        <v>127</v>
      </c>
      <c r="S1" s="180"/>
      <c r="T1" s="180"/>
      <c r="U1" s="180"/>
      <c r="V1" s="183" t="s">
        <v>115</v>
      </c>
      <c r="W1" s="183" t="s">
        <v>75</v>
      </c>
    </row>
    <row r="2" spans="1:23" x14ac:dyDescent="0.3">
      <c r="A2" s="180"/>
      <c r="B2" s="180"/>
      <c r="C2" s="184"/>
      <c r="D2" s="190"/>
      <c r="E2" s="191"/>
      <c r="F2" s="181"/>
      <c r="G2" s="181"/>
      <c r="H2" s="181"/>
      <c r="I2" s="181"/>
      <c r="J2" s="181"/>
      <c r="K2" s="181"/>
      <c r="L2" s="184"/>
      <c r="M2" s="184"/>
      <c r="N2" s="181"/>
      <c r="O2" s="181"/>
      <c r="P2" s="181"/>
      <c r="Q2" s="181"/>
      <c r="R2" s="180"/>
      <c r="S2" s="180"/>
      <c r="T2" s="180"/>
      <c r="U2" s="180"/>
      <c r="V2" s="184"/>
      <c r="W2" s="184"/>
    </row>
    <row r="3" spans="1:23" x14ac:dyDescent="0.3">
      <c r="A3" s="182">
        <v>1</v>
      </c>
      <c r="B3" s="2" t="s">
        <v>107</v>
      </c>
      <c r="C3" s="187">
        <v>46230</v>
      </c>
      <c r="D3" s="182">
        <v>5</v>
      </c>
      <c r="E3" s="182" t="s">
        <v>122</v>
      </c>
      <c r="F3" s="182">
        <v>500</v>
      </c>
      <c r="G3" s="182" t="s">
        <v>108</v>
      </c>
      <c r="H3" s="182">
        <v>50</v>
      </c>
      <c r="I3" s="182" t="s">
        <v>109</v>
      </c>
      <c r="J3" s="182">
        <f>+(D3*F3)/H3</f>
        <v>50</v>
      </c>
      <c r="K3" s="182" t="s">
        <v>110</v>
      </c>
      <c r="L3" s="186">
        <v>46235</v>
      </c>
      <c r="M3" s="186" t="s">
        <v>117</v>
      </c>
      <c r="N3" s="182">
        <v>1</v>
      </c>
      <c r="O3" s="182" t="s">
        <v>110</v>
      </c>
      <c r="P3" s="182">
        <f>+N3*H3</f>
        <v>50</v>
      </c>
      <c r="Q3" s="182" t="s">
        <v>109</v>
      </c>
      <c r="R3" s="182">
        <f>+J3-N3</f>
        <v>49</v>
      </c>
      <c r="S3" s="182" t="s">
        <v>110</v>
      </c>
      <c r="T3" s="192">
        <f>+R3*H3</f>
        <v>2450</v>
      </c>
      <c r="U3" s="94" t="s">
        <v>109</v>
      </c>
      <c r="V3" s="182" t="s">
        <v>118</v>
      </c>
      <c r="W3" s="182" t="s">
        <v>119</v>
      </c>
    </row>
    <row r="4" spans="1:23" x14ac:dyDescent="0.3">
      <c r="A4" s="94">
        <f>+A3+1</f>
        <v>2</v>
      </c>
      <c r="B4" s="2" t="s">
        <v>111</v>
      </c>
      <c r="C4" s="2"/>
      <c r="D4" s="182">
        <v>3</v>
      </c>
      <c r="E4" s="182" t="s">
        <v>122</v>
      </c>
      <c r="F4" s="94">
        <v>1000</v>
      </c>
      <c r="G4" s="2" t="s">
        <v>108</v>
      </c>
      <c r="H4" s="182">
        <v>50</v>
      </c>
      <c r="I4" s="182" t="s">
        <v>109</v>
      </c>
      <c r="J4" s="182">
        <f t="shared" ref="J4:J5" si="0">+(D4*F4)/H4</f>
        <v>60</v>
      </c>
      <c r="K4" s="182" t="s">
        <v>110</v>
      </c>
      <c r="L4" s="185"/>
      <c r="M4" s="182" t="s">
        <v>129</v>
      </c>
      <c r="N4" s="182">
        <v>2</v>
      </c>
      <c r="O4" s="182" t="s">
        <v>110</v>
      </c>
      <c r="P4" s="182">
        <f t="shared" ref="P4:P7" si="1">+N4*H4</f>
        <v>100</v>
      </c>
      <c r="Q4" s="182" t="s">
        <v>109</v>
      </c>
      <c r="R4" s="182">
        <f>+J4-N4</f>
        <v>58</v>
      </c>
      <c r="S4" s="182" t="s">
        <v>110</v>
      </c>
      <c r="T4" s="192">
        <f>+R4*H4</f>
        <v>2900</v>
      </c>
      <c r="U4" s="94" t="s">
        <v>109</v>
      </c>
      <c r="V4" s="182"/>
      <c r="W4" s="182"/>
    </row>
    <row r="5" spans="1:23" x14ac:dyDescent="0.3">
      <c r="A5" s="94">
        <f t="shared" ref="A5:A7" si="2">+A4+1</f>
        <v>3</v>
      </c>
      <c r="B5" s="2" t="s">
        <v>112</v>
      </c>
      <c r="C5" s="2"/>
      <c r="D5" s="182">
        <v>12</v>
      </c>
      <c r="E5" s="182" t="s">
        <v>122</v>
      </c>
      <c r="F5" s="94">
        <v>30</v>
      </c>
      <c r="G5" s="94" t="s">
        <v>108</v>
      </c>
      <c r="H5" s="94">
        <v>15</v>
      </c>
      <c r="I5" s="94" t="s">
        <v>108</v>
      </c>
      <c r="J5" s="182">
        <f t="shared" si="0"/>
        <v>24</v>
      </c>
      <c r="K5" s="182" t="s">
        <v>110</v>
      </c>
      <c r="L5" s="182"/>
      <c r="M5" s="182" t="s">
        <v>130</v>
      </c>
      <c r="N5" s="182">
        <v>2</v>
      </c>
      <c r="O5" s="182" t="s">
        <v>110</v>
      </c>
      <c r="P5" s="182">
        <f t="shared" si="1"/>
        <v>30</v>
      </c>
      <c r="Q5" s="182" t="s">
        <v>109</v>
      </c>
      <c r="R5" s="182">
        <f>+J5-N5</f>
        <v>22</v>
      </c>
      <c r="S5" s="182" t="s">
        <v>110</v>
      </c>
      <c r="T5" s="192">
        <f>+R5*H5</f>
        <v>330</v>
      </c>
      <c r="U5" s="94" t="s">
        <v>109</v>
      </c>
      <c r="V5" s="182"/>
      <c r="W5" s="182"/>
    </row>
    <row r="6" spans="1:23" x14ac:dyDescent="0.3">
      <c r="A6" s="94">
        <f t="shared" si="2"/>
        <v>4</v>
      </c>
      <c r="B6" s="2" t="s">
        <v>113</v>
      </c>
      <c r="C6" s="2"/>
      <c r="D6" s="182">
        <v>2</v>
      </c>
      <c r="E6" s="182" t="s">
        <v>122</v>
      </c>
      <c r="F6" s="94">
        <v>150</v>
      </c>
      <c r="G6" s="94" t="s">
        <v>108</v>
      </c>
      <c r="H6" s="94">
        <v>12</v>
      </c>
      <c r="I6" s="94" t="s">
        <v>108</v>
      </c>
      <c r="J6" s="182">
        <f t="shared" ref="J6:J7" si="3">+(D6*F6)/H6</f>
        <v>25</v>
      </c>
      <c r="K6" s="182" t="s">
        <v>110</v>
      </c>
      <c r="L6" s="182"/>
      <c r="M6" s="182" t="s">
        <v>131</v>
      </c>
      <c r="N6" s="182">
        <v>2</v>
      </c>
      <c r="O6" s="182" t="s">
        <v>110</v>
      </c>
      <c r="P6" s="182">
        <f t="shared" si="1"/>
        <v>24</v>
      </c>
      <c r="Q6" s="182" t="s">
        <v>109</v>
      </c>
      <c r="R6" s="182">
        <f>+J6-N6</f>
        <v>23</v>
      </c>
      <c r="S6" s="182" t="s">
        <v>110</v>
      </c>
      <c r="T6" s="192">
        <f>+R6*H6</f>
        <v>276</v>
      </c>
      <c r="U6" s="94" t="s">
        <v>109</v>
      </c>
      <c r="V6" s="182"/>
      <c r="W6" s="182"/>
    </row>
    <row r="7" spans="1:23" x14ac:dyDescent="0.3">
      <c r="A7" s="94">
        <f t="shared" si="2"/>
        <v>5</v>
      </c>
      <c r="B7" s="2" t="s">
        <v>128</v>
      </c>
      <c r="C7" s="2"/>
      <c r="D7" s="94">
        <v>7</v>
      </c>
      <c r="E7" s="94" t="s">
        <v>122</v>
      </c>
      <c r="F7" s="94">
        <v>8</v>
      </c>
      <c r="G7" s="94" t="s">
        <v>108</v>
      </c>
      <c r="H7" s="94">
        <v>2.5</v>
      </c>
      <c r="I7" s="94" t="s">
        <v>108</v>
      </c>
      <c r="J7" s="182">
        <f t="shared" si="3"/>
        <v>22.4</v>
      </c>
      <c r="K7" s="94" t="s">
        <v>110</v>
      </c>
      <c r="L7" s="94"/>
      <c r="M7" s="94" t="s">
        <v>117</v>
      </c>
      <c r="N7" s="94">
        <v>3</v>
      </c>
      <c r="O7" s="182" t="s">
        <v>110</v>
      </c>
      <c r="P7" s="94">
        <f t="shared" si="1"/>
        <v>7.5</v>
      </c>
      <c r="Q7" s="94" t="s">
        <v>108</v>
      </c>
      <c r="R7" s="94">
        <f>+J7-N7</f>
        <v>19.399999999999999</v>
      </c>
      <c r="S7" s="94" t="s">
        <v>110</v>
      </c>
      <c r="T7" s="94">
        <f>+R7*H7</f>
        <v>48.5</v>
      </c>
      <c r="U7" s="94" t="s">
        <v>108</v>
      </c>
      <c r="V7" s="2"/>
      <c r="W7" s="2"/>
    </row>
  </sheetData>
  <mergeCells count="13">
    <mergeCell ref="L1:L2"/>
    <mergeCell ref="V1:V2"/>
    <mergeCell ref="W1:W2"/>
    <mergeCell ref="M1:M2"/>
    <mergeCell ref="C1:C2"/>
    <mergeCell ref="D1:E2"/>
    <mergeCell ref="B1:B2"/>
    <mergeCell ref="A1:A2"/>
    <mergeCell ref="F1:G2"/>
    <mergeCell ref="H1:I2"/>
    <mergeCell ref="J1:K2"/>
    <mergeCell ref="N1:Q2"/>
    <mergeCell ref="R1:U2"/>
  </mergeCells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REKAP KOM-LEM JUL 26</vt:lpstr>
      <vt:lpstr>REKAP PENDAPATAN JUL 26</vt:lpstr>
      <vt:lpstr>SLIP GJ JUL 26</vt:lpstr>
      <vt:lpstr>REKAP STOK IN-OUT</vt:lpstr>
      <vt:lpstr>'SLIP GJ JUL 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NIMPO</dc:creator>
  <cp:lastModifiedBy>NIMPO</cp:lastModifiedBy>
  <cp:lastPrinted>2026-08-04T11:03:04Z</cp:lastPrinted>
  <dcterms:created xsi:type="dcterms:W3CDTF">2026-07-21T07:11:29Z</dcterms:created>
  <dcterms:modified xsi:type="dcterms:W3CDTF">2026-08-04T13:37:38Z</dcterms:modified>
</cp:coreProperties>
</file>